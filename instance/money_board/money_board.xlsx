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ggoka/Desktop/Recruiting/2024-25 Recuiting Film/"/>
    </mc:Choice>
  </mc:AlternateContent>
  <xr:revisionPtr revIDLastSave="0" documentId="13_ncr:1_{A1067C3B-7BAE-2B49-AFB7-E53A31C6648E}" xr6:coauthVersionLast="47" xr6:coauthVersionMax="47" xr10:uidLastSave="{00000000-0000-0000-0000-000000000000}"/>
  <bookViews>
    <workbookView xWindow="0" yWindow="760" windowWidth="34400" windowHeight="20800" activeTab="3" xr2:uid="{A82024B6-8DE1-A941-962D-A24A54AB9A4B}"/>
  </bookViews>
  <sheets>
    <sheet name="SEC" sheetId="1" r:id="rId1"/>
    <sheet name="Big Ten" sheetId="2" r:id="rId2"/>
    <sheet name="ACC" sheetId="3" r:id="rId3"/>
    <sheet name="BIG 12" sheetId="4" r:id="rId4"/>
    <sheet name="Big East " sheetId="5" r:id="rId5"/>
    <sheet name="American " sheetId="6" r:id="rId6"/>
    <sheet name="Mountain West" sheetId="7" r:id="rId7"/>
    <sheet name="WCC" sheetId="8" r:id="rId8"/>
    <sheet name="Mid-Majors" sheetId="9" r:id="rId9"/>
    <sheet name="MISC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26" i="1"/>
  <c r="N27" i="1"/>
  <c r="N29" i="1"/>
  <c r="N30" i="1"/>
  <c r="N31" i="1"/>
  <c r="N21" i="10"/>
  <c r="N13" i="3"/>
  <c r="N12" i="3"/>
  <c r="N12" i="8"/>
  <c r="N11" i="8"/>
  <c r="N9" i="8"/>
  <c r="N10" i="8"/>
  <c r="N8" i="8"/>
  <c r="N7" i="8"/>
  <c r="N6" i="8"/>
  <c r="N5" i="8"/>
  <c r="N4" i="8"/>
  <c r="N3" i="8"/>
  <c r="N2" i="8"/>
  <c r="N13" i="8"/>
  <c r="N14" i="9"/>
  <c r="N12" i="9"/>
  <c r="N13" i="9"/>
  <c r="N11" i="9"/>
  <c r="N10" i="9"/>
  <c r="N9" i="9"/>
  <c r="N8" i="9"/>
  <c r="N6" i="9"/>
  <c r="N7" i="9"/>
  <c r="N5" i="9"/>
  <c r="N4" i="9"/>
  <c r="N3" i="9"/>
  <c r="N2" i="9"/>
  <c r="N2" i="6"/>
  <c r="N15" i="6"/>
  <c r="N16" i="6"/>
  <c r="N14" i="6"/>
  <c r="N17" i="6"/>
  <c r="N3" i="1"/>
  <c r="N47" i="1"/>
  <c r="N8" i="1"/>
  <c r="N36" i="1"/>
  <c r="N25" i="1"/>
  <c r="N13" i="1"/>
  <c r="N57" i="1"/>
  <c r="N50" i="1"/>
  <c r="N9" i="1"/>
  <c r="N51" i="1"/>
  <c r="N45" i="1"/>
  <c r="N6" i="1"/>
  <c r="N5" i="1"/>
  <c r="N17" i="1"/>
  <c r="N24" i="1"/>
  <c r="N44" i="1"/>
  <c r="N38" i="1"/>
  <c r="N4" i="1"/>
  <c r="N34" i="1"/>
  <c r="N12" i="1"/>
  <c r="N2" i="1"/>
  <c r="N32" i="1"/>
  <c r="N18" i="1"/>
  <c r="N14" i="1"/>
  <c r="N39" i="1"/>
  <c r="N54" i="1"/>
  <c r="N23" i="1"/>
  <c r="N19" i="1"/>
  <c r="N7" i="1"/>
  <c r="N55" i="1"/>
  <c r="N21" i="1"/>
  <c r="N58" i="1"/>
  <c r="N46" i="1"/>
  <c r="N35" i="1"/>
  <c r="N53" i="1"/>
  <c r="N56" i="1"/>
  <c r="N52" i="1"/>
  <c r="N16" i="1"/>
  <c r="N37" i="1"/>
  <c r="N11" i="1"/>
  <c r="N15" i="1"/>
  <c r="N49" i="1"/>
  <c r="N20" i="1"/>
  <c r="N48" i="1"/>
  <c r="N22" i="1"/>
  <c r="N10" i="1"/>
  <c r="N8" i="2"/>
  <c r="N14" i="2"/>
  <c r="N27" i="2"/>
  <c r="N2" i="2"/>
  <c r="N9" i="2"/>
  <c r="N47" i="2"/>
  <c r="N26" i="2"/>
  <c r="N34" i="2"/>
  <c r="N22" i="2"/>
  <c r="N15" i="2"/>
  <c r="N40" i="2"/>
  <c r="N24" i="2"/>
  <c r="N10" i="2"/>
  <c r="N33" i="2"/>
  <c r="N32" i="2"/>
  <c r="N23" i="2"/>
  <c r="N6" i="2"/>
  <c r="N21" i="2"/>
  <c r="N46" i="2"/>
  <c r="N45" i="2"/>
  <c r="N20" i="2"/>
  <c r="N31" i="2"/>
  <c r="N39" i="2"/>
  <c r="N5" i="2"/>
  <c r="N16" i="2"/>
  <c r="N19" i="2"/>
  <c r="N12" i="2"/>
  <c r="N44" i="2"/>
  <c r="N41" i="2"/>
  <c r="N4" i="2"/>
  <c r="N38" i="2"/>
  <c r="N3" i="2"/>
  <c r="N30" i="2"/>
  <c r="N18" i="2"/>
  <c r="N11" i="2"/>
  <c r="N25" i="2"/>
  <c r="N29" i="2"/>
  <c r="N17" i="2"/>
  <c r="N28" i="2"/>
  <c r="N43" i="2"/>
  <c r="N42" i="2"/>
  <c r="N37" i="2"/>
  <c r="N7" i="2"/>
  <c r="N13" i="2"/>
  <c r="N35" i="2"/>
  <c r="N36" i="2"/>
  <c r="N33" i="1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11" i="5"/>
  <c r="N30" i="4"/>
  <c r="N29" i="4"/>
  <c r="N28" i="4"/>
  <c r="N27" i="4"/>
  <c r="N26" i="4"/>
  <c r="N25" i="4"/>
  <c r="N24" i="4"/>
  <c r="N23" i="4"/>
  <c r="N22" i="4"/>
  <c r="N20" i="4"/>
  <c r="N21" i="4"/>
  <c r="N19" i="4"/>
  <c r="N17" i="4"/>
  <c r="N18" i="4"/>
  <c r="N16" i="4"/>
  <c r="N14" i="4"/>
  <c r="N15" i="4"/>
  <c r="N13" i="4"/>
  <c r="N11" i="4"/>
  <c r="N12" i="4"/>
  <c r="N10" i="4"/>
  <c r="N9" i="4"/>
  <c r="N6" i="4"/>
  <c r="N7" i="4"/>
  <c r="N8" i="4"/>
  <c r="N4" i="4"/>
  <c r="N5" i="4"/>
  <c r="N3" i="4"/>
  <c r="N2" i="4"/>
  <c r="N31" i="4"/>
  <c r="N36" i="4"/>
  <c r="N37" i="4"/>
  <c r="N17" i="3"/>
  <c r="N31" i="10"/>
  <c r="N44" i="10"/>
  <c r="N51" i="10"/>
  <c r="N2" i="10"/>
  <c r="N25" i="10"/>
  <c r="N12" i="10"/>
  <c r="N24" i="10"/>
  <c r="N19" i="10"/>
  <c r="N32" i="10"/>
  <c r="N3" i="10"/>
  <c r="N4" i="10"/>
  <c r="N28" i="10"/>
  <c r="N52" i="10"/>
  <c r="N18" i="10"/>
  <c r="N38" i="10"/>
  <c r="N36" i="10"/>
  <c r="N40" i="10"/>
  <c r="N20" i="10"/>
  <c r="N49" i="10"/>
  <c r="N42" i="10"/>
  <c r="N50" i="10"/>
  <c r="N9" i="10"/>
  <c r="N8" i="10"/>
  <c r="N16" i="10"/>
  <c r="N5" i="10"/>
  <c r="N34" i="10"/>
  <c r="N26" i="10"/>
  <c r="N6" i="10"/>
  <c r="N10" i="10"/>
  <c r="N35" i="10"/>
  <c r="N39" i="10"/>
  <c r="N14" i="10"/>
  <c r="N33" i="10"/>
  <c r="N7" i="10"/>
  <c r="N13" i="10"/>
  <c r="N11" i="10"/>
  <c r="N29" i="10"/>
  <c r="N27" i="10"/>
  <c r="N45" i="10"/>
  <c r="N41" i="10"/>
  <c r="N37" i="10"/>
  <c r="N23" i="10"/>
  <c r="N15" i="10"/>
  <c r="N17" i="10"/>
  <c r="N46" i="10"/>
  <c r="N16" i="9"/>
  <c r="N5" i="7"/>
  <c r="N14" i="3"/>
  <c r="N2" i="5"/>
  <c r="N10" i="3"/>
  <c r="N18" i="3"/>
  <c r="N35" i="3"/>
  <c r="N33" i="3"/>
  <c r="N31" i="3"/>
  <c r="N28" i="3"/>
  <c r="N19" i="3"/>
  <c r="N24" i="3"/>
  <c r="N15" i="3"/>
  <c r="N48" i="2"/>
</calcChain>
</file>

<file path=xl/sharedStrings.xml><?xml version="1.0" encoding="utf-8"?>
<sst xmlns="http://schemas.openxmlformats.org/spreadsheetml/2006/main" count="4259" uniqueCount="1027">
  <si>
    <t>Coach</t>
  </si>
  <si>
    <t>Coach Current Team</t>
  </si>
  <si>
    <t>Coach Current Conference</t>
  </si>
  <si>
    <t>Player</t>
  </si>
  <si>
    <t>Class</t>
  </si>
  <si>
    <t>Age</t>
  </si>
  <si>
    <t>Team</t>
  </si>
  <si>
    <t>Player Conference</t>
  </si>
  <si>
    <t>Year</t>
  </si>
  <si>
    <t>Projected Pick</t>
  </si>
  <si>
    <t>Actual Pick</t>
  </si>
  <si>
    <t>Projected Money</t>
  </si>
  <si>
    <t>Actual Money</t>
  </si>
  <si>
    <t>NET</t>
  </si>
  <si>
    <t>Height</t>
  </si>
  <si>
    <t>Weight</t>
  </si>
  <si>
    <t>WingSpan</t>
  </si>
  <si>
    <t>Home City</t>
  </si>
  <si>
    <t>Home State</t>
  </si>
  <si>
    <t>Country</t>
  </si>
  <si>
    <t>John Calipari</t>
  </si>
  <si>
    <t>Arkansas</t>
  </si>
  <si>
    <t>SEC</t>
  </si>
  <si>
    <t>Justin Edwards</t>
  </si>
  <si>
    <t>Freshman</t>
  </si>
  <si>
    <t>Kentucky</t>
  </si>
  <si>
    <t>Undrafted</t>
  </si>
  <si>
    <t>6'8</t>
  </si>
  <si>
    <t>6'10</t>
  </si>
  <si>
    <t>Philadelphia</t>
  </si>
  <si>
    <t>Pennsylvania</t>
  </si>
  <si>
    <t>USA</t>
  </si>
  <si>
    <t>Todd Golden</t>
  </si>
  <si>
    <t>Florida</t>
  </si>
  <si>
    <t>Alex Fudge</t>
  </si>
  <si>
    <t>Sophomore</t>
  </si>
  <si>
    <t>7'0</t>
  </si>
  <si>
    <t>Jacksonville</t>
  </si>
  <si>
    <t>Oscar Tschibwe</t>
  </si>
  <si>
    <t>Senior</t>
  </si>
  <si>
    <t>6'9</t>
  </si>
  <si>
    <t>7'3</t>
  </si>
  <si>
    <t>Lubumbashi</t>
  </si>
  <si>
    <t>Democratic Republic of the Congo</t>
  </si>
  <si>
    <t>Ashton Hagans</t>
  </si>
  <si>
    <t>6'3</t>
  </si>
  <si>
    <t>Cartersville</t>
  </si>
  <si>
    <t>Georgia</t>
  </si>
  <si>
    <t>Khalil Whitney</t>
  </si>
  <si>
    <t>6'6</t>
  </si>
  <si>
    <t>Chicago</t>
  </si>
  <si>
    <t>Illinois</t>
  </si>
  <si>
    <t>Rick Barnes</t>
  </si>
  <si>
    <t>Tennessee</t>
  </si>
  <si>
    <t>Jahmai Mashack</t>
  </si>
  <si>
    <t>6'4</t>
  </si>
  <si>
    <t>Fontana</t>
  </si>
  <si>
    <t>California</t>
  </si>
  <si>
    <t>Chris Livingston</t>
  </si>
  <si>
    <t>6'11</t>
  </si>
  <si>
    <t>Akron</t>
  </si>
  <si>
    <t>Ohio</t>
  </si>
  <si>
    <t>Will Richard</t>
  </si>
  <si>
    <t>6'5</t>
  </si>
  <si>
    <t>Fairburn</t>
  </si>
  <si>
    <t>Mike White</t>
  </si>
  <si>
    <t>Scottie Lewis</t>
  </si>
  <si>
    <t>Hazlet</t>
  </si>
  <si>
    <t>New Jersey</t>
  </si>
  <si>
    <t>Nate Oats</t>
  </si>
  <si>
    <t>Alabama</t>
  </si>
  <si>
    <t>JD Davison</t>
  </si>
  <si>
    <t>Latohatchee</t>
  </si>
  <si>
    <t>Brandon Boston</t>
  </si>
  <si>
    <t>6'7</t>
  </si>
  <si>
    <t>Norcross</t>
  </si>
  <si>
    <t>Bruce Pearl</t>
  </si>
  <si>
    <t>Auburn</t>
  </si>
  <si>
    <t>Sharife Cooper</t>
  </si>
  <si>
    <t>6'1</t>
  </si>
  <si>
    <t>Powder Springs</t>
  </si>
  <si>
    <t>Sean Miller</t>
  </si>
  <si>
    <t>Texas</t>
  </si>
  <si>
    <t xml:space="preserve">Nico Mannion </t>
  </si>
  <si>
    <t xml:space="preserve">Arizona </t>
  </si>
  <si>
    <t>Pac-12</t>
  </si>
  <si>
    <t>6'2</t>
  </si>
  <si>
    <t xml:space="preserve">Siena </t>
  </si>
  <si>
    <t>Italy</t>
  </si>
  <si>
    <t>Antonio Reeves</t>
  </si>
  <si>
    <t>Mark Pope</t>
  </si>
  <si>
    <t xml:space="preserve">Kentucky </t>
  </si>
  <si>
    <t xml:space="preserve">Amari Williams </t>
  </si>
  <si>
    <t>7'5</t>
  </si>
  <si>
    <t>Nottingham</t>
  </si>
  <si>
    <t>UK</t>
  </si>
  <si>
    <t>Lamont Paris</t>
  </si>
  <si>
    <t>South Carolina</t>
  </si>
  <si>
    <t>Gregory Jackson</t>
  </si>
  <si>
    <t>Columbia</t>
  </si>
  <si>
    <t>Chris Beard</t>
  </si>
  <si>
    <t>Ole Miss</t>
  </si>
  <si>
    <t>Jah'mius Ramsey</t>
  </si>
  <si>
    <t>Texas Tech</t>
  </si>
  <si>
    <t>Big 12</t>
  </si>
  <si>
    <t>Arlington</t>
  </si>
  <si>
    <t>Nick Richards</t>
  </si>
  <si>
    <t>Junior</t>
  </si>
  <si>
    <t>7'2</t>
  </si>
  <si>
    <t>Kingston</t>
  </si>
  <si>
    <t>Jamaica</t>
  </si>
  <si>
    <t>Kobe Brea</t>
  </si>
  <si>
    <t>Washington Heights</t>
  </si>
  <si>
    <t>New York</t>
  </si>
  <si>
    <t>Alijah Martin</t>
  </si>
  <si>
    <t>Summit</t>
  </si>
  <si>
    <t>Mississippi</t>
  </si>
  <si>
    <t>Kennedy Chandler</t>
  </si>
  <si>
    <t>6'0</t>
  </si>
  <si>
    <t>Memphis</t>
  </si>
  <si>
    <t>Chaz Lanier</t>
  </si>
  <si>
    <t>Nashville</t>
  </si>
  <si>
    <t>JT Thor</t>
  </si>
  <si>
    <t>Anchorage</t>
  </si>
  <si>
    <t>Alaska</t>
  </si>
  <si>
    <t>Adou Thiero</t>
  </si>
  <si>
    <t>Leetsdale</t>
  </si>
  <si>
    <t>Johni Broome</t>
  </si>
  <si>
    <t>Plant City</t>
  </si>
  <si>
    <t>Julian Phillips</t>
  </si>
  <si>
    <t>Blythewood</t>
  </si>
  <si>
    <t>Herb Jones</t>
  </si>
  <si>
    <t>Greensboro</t>
  </si>
  <si>
    <t xml:space="preserve">Colby Jones </t>
  </si>
  <si>
    <t>Xavier</t>
  </si>
  <si>
    <t xml:space="preserve">Big East </t>
  </si>
  <si>
    <t>Birmingham</t>
  </si>
  <si>
    <t>Dennis Gates</t>
  </si>
  <si>
    <t>Missouri</t>
  </si>
  <si>
    <t>Kobe Brown</t>
  </si>
  <si>
    <t>Misssouri</t>
  </si>
  <si>
    <t>7'1</t>
  </si>
  <si>
    <t>Huntsville</t>
  </si>
  <si>
    <t>TyTy Washington</t>
  </si>
  <si>
    <t>Phoenix</t>
  </si>
  <si>
    <t>Arizona</t>
  </si>
  <si>
    <t>Jaden Springer</t>
  </si>
  <si>
    <t>Charlotte</t>
  </si>
  <si>
    <t>North Carolina</t>
  </si>
  <si>
    <t>Immanuel Quickley</t>
  </si>
  <si>
    <t>Havre De Grace</t>
  </si>
  <si>
    <t>Maryland</t>
  </si>
  <si>
    <t>Asa Newell</t>
  </si>
  <si>
    <t>Destin</t>
  </si>
  <si>
    <t>Walker Kessler</t>
  </si>
  <si>
    <t>7'4</t>
  </si>
  <si>
    <t>Newnan</t>
  </si>
  <si>
    <t>Isaiah Jackson</t>
  </si>
  <si>
    <t>Pontiac</t>
  </si>
  <si>
    <t>Michigan</t>
  </si>
  <si>
    <t xml:space="preserve">Zeke Nnaji </t>
  </si>
  <si>
    <t>Lakeville</t>
  </si>
  <si>
    <t>Minnesota</t>
  </si>
  <si>
    <t>Noah Clowney</t>
  </si>
  <si>
    <t>Roebuck</t>
  </si>
  <si>
    <t>Keon Johnson</t>
  </si>
  <si>
    <t>Shelbyville</t>
  </si>
  <si>
    <t>Tyrese Maxey</t>
  </si>
  <si>
    <t>Garland</t>
  </si>
  <si>
    <t xml:space="preserve">Walter Clayton </t>
  </si>
  <si>
    <t>Lake Wales</t>
  </si>
  <si>
    <t>Tre Mann</t>
  </si>
  <si>
    <t>Gainesville</t>
  </si>
  <si>
    <t xml:space="preserve">Josh Green </t>
  </si>
  <si>
    <t>Sydney</t>
  </si>
  <si>
    <t>Australia</t>
  </si>
  <si>
    <t>Dalton Knecht</t>
  </si>
  <si>
    <t>Thornton</t>
  </si>
  <si>
    <t>Colorado</t>
  </si>
  <si>
    <t>Kira Lewis Jr.</t>
  </si>
  <si>
    <t>Meridianville</t>
  </si>
  <si>
    <t>Joshua Primo</t>
  </si>
  <si>
    <t>20th</t>
  </si>
  <si>
    <t>Mississauga</t>
  </si>
  <si>
    <t>Ontario</t>
  </si>
  <si>
    <t>Canada</t>
  </si>
  <si>
    <t>Cason Wallace</t>
  </si>
  <si>
    <t>Richardson</t>
  </si>
  <si>
    <t>Collin Murray Boyles</t>
  </si>
  <si>
    <t>Rob Dillingham</t>
  </si>
  <si>
    <t>Hickory</t>
  </si>
  <si>
    <t>Porter Moser</t>
  </si>
  <si>
    <t>Oklahoma</t>
  </si>
  <si>
    <t>Jeremiah Fears</t>
  </si>
  <si>
    <t>Joliet</t>
  </si>
  <si>
    <t>Isaac Okoro</t>
  </si>
  <si>
    <t>Reed Sheppard</t>
  </si>
  <si>
    <t>London</t>
  </si>
  <si>
    <t>Jabari Smith</t>
  </si>
  <si>
    <t>Fayetville</t>
  </si>
  <si>
    <t>Brandon Miller</t>
  </si>
  <si>
    <t>Antioch</t>
  </si>
  <si>
    <t>Bucky Mcmillian</t>
  </si>
  <si>
    <t>Texas A&amp;M</t>
  </si>
  <si>
    <t>N/A</t>
  </si>
  <si>
    <t xml:space="preserve">N/A </t>
  </si>
  <si>
    <t>Matt McHahon</t>
  </si>
  <si>
    <t xml:space="preserve">LSU </t>
  </si>
  <si>
    <t>Mark Byington</t>
  </si>
  <si>
    <t xml:space="preserve">Vanderbilt </t>
  </si>
  <si>
    <t xml:space="preserve">Chris Jans </t>
  </si>
  <si>
    <t xml:space="preserve">Mississippi St. </t>
  </si>
  <si>
    <t>Tom Izzo</t>
  </si>
  <si>
    <t>Michigan State</t>
  </si>
  <si>
    <t>Big Ten</t>
  </si>
  <si>
    <t>Aaron Henry</t>
  </si>
  <si>
    <t xml:space="preserve">Junior </t>
  </si>
  <si>
    <t>Indianapolis</t>
  </si>
  <si>
    <t>Indiana</t>
  </si>
  <si>
    <t>Brad Underwood</t>
  </si>
  <si>
    <t>Matthew Mayer</t>
  </si>
  <si>
    <t>Grad Student</t>
  </si>
  <si>
    <t>Austin</t>
  </si>
  <si>
    <t>Dana Altman</t>
  </si>
  <si>
    <t>Oregon</t>
  </si>
  <si>
    <t xml:space="preserve">Will Richardson </t>
  </si>
  <si>
    <t>Hinseville</t>
  </si>
  <si>
    <t>Mich Cronin</t>
  </si>
  <si>
    <t xml:space="preserve">UCLA </t>
  </si>
  <si>
    <t xml:space="preserve">Chris Smith </t>
  </si>
  <si>
    <t xml:space="preserve">Johnny Juzang </t>
  </si>
  <si>
    <t>Los Angeles</t>
  </si>
  <si>
    <t xml:space="preserve">Buzz Williams </t>
  </si>
  <si>
    <t xml:space="preserve">Danny Sprinkle </t>
  </si>
  <si>
    <t>Washington</t>
  </si>
  <si>
    <t>Jake Diebler</t>
  </si>
  <si>
    <t>Ohio State</t>
  </si>
  <si>
    <t>Ben McCollum</t>
  </si>
  <si>
    <t>Iowa</t>
  </si>
  <si>
    <t>Cassius Winston</t>
  </si>
  <si>
    <t>Detroit</t>
  </si>
  <si>
    <t>Greg Gard</t>
  </si>
  <si>
    <t>Wisconsin</t>
  </si>
  <si>
    <t>John Tonje</t>
  </si>
  <si>
    <t>Omaha</t>
  </si>
  <si>
    <t>Nebraska</t>
  </si>
  <si>
    <t xml:space="preserve">Jaylen Clark </t>
  </si>
  <si>
    <t>Riverside</t>
  </si>
  <si>
    <t>Eric Mussleman</t>
  </si>
  <si>
    <t>USC</t>
  </si>
  <si>
    <t>Isaiah Joe</t>
  </si>
  <si>
    <t>Fort Smith</t>
  </si>
  <si>
    <t>Darian Devries</t>
  </si>
  <si>
    <t>Javon Small</t>
  </si>
  <si>
    <t>West Virginia</t>
  </si>
  <si>
    <t xml:space="preserve">South Bend </t>
  </si>
  <si>
    <t>Mike Rhoades</t>
  </si>
  <si>
    <t>Penn State</t>
  </si>
  <si>
    <t>Dalano Banton</t>
  </si>
  <si>
    <t>VCU</t>
  </si>
  <si>
    <t>A10</t>
  </si>
  <si>
    <t>Fred Hoiberg</t>
  </si>
  <si>
    <t>RS Sophomore</t>
  </si>
  <si>
    <t>Toronto</t>
  </si>
  <si>
    <t xml:space="preserve">Chris Collins </t>
  </si>
  <si>
    <t>Northwestern</t>
  </si>
  <si>
    <t>Brooks Barnhizer</t>
  </si>
  <si>
    <t xml:space="preserve">Senior </t>
  </si>
  <si>
    <t>Lafayette</t>
  </si>
  <si>
    <t xml:space="preserve">Amari Bailey </t>
  </si>
  <si>
    <t>New Orleans</t>
  </si>
  <si>
    <t>Louisiana</t>
  </si>
  <si>
    <t xml:space="preserve">Adem Bona </t>
  </si>
  <si>
    <t>Ebonyi</t>
  </si>
  <si>
    <t>Nigeria</t>
  </si>
  <si>
    <t>Bryce McGowens</t>
  </si>
  <si>
    <t>Pendleton</t>
  </si>
  <si>
    <t>Ayo Dosunmu</t>
  </si>
  <si>
    <t>Jordan Walsh</t>
  </si>
  <si>
    <t>Desoto</t>
  </si>
  <si>
    <t>Xavier Tillman</t>
  </si>
  <si>
    <t>Grand Rapids</t>
  </si>
  <si>
    <t>Max Christie</t>
  </si>
  <si>
    <t>Arlington Heights</t>
  </si>
  <si>
    <t>Jaylin Williams</t>
  </si>
  <si>
    <t>Saint Smith</t>
  </si>
  <si>
    <t xml:space="preserve">Peyton Watson </t>
  </si>
  <si>
    <t>Beverly Hills</t>
  </si>
  <si>
    <t>Yanic Konan Niederhauser</t>
  </si>
  <si>
    <t>Fraschels</t>
  </si>
  <si>
    <t>Switzerland</t>
  </si>
  <si>
    <t>Terrance Shannon</t>
  </si>
  <si>
    <t xml:space="preserve">Dusty May </t>
  </si>
  <si>
    <t xml:space="preserve">Danny Wolf </t>
  </si>
  <si>
    <t xml:space="preserve">Michigan </t>
  </si>
  <si>
    <t>Glencoe</t>
  </si>
  <si>
    <t>Nick Smith Jr</t>
  </si>
  <si>
    <t>Peyton Pritchard</t>
  </si>
  <si>
    <t>Tualatin</t>
  </si>
  <si>
    <t>Jase Richardson</t>
  </si>
  <si>
    <t>Denver</t>
  </si>
  <si>
    <t>Colorada</t>
  </si>
  <si>
    <t>Niko Medved</t>
  </si>
  <si>
    <t>David Roddy</t>
  </si>
  <si>
    <t>Colorado State</t>
  </si>
  <si>
    <t>Mountain West</t>
  </si>
  <si>
    <t>Minneapolis</t>
  </si>
  <si>
    <t>Will Riley</t>
  </si>
  <si>
    <t>Kitchener</t>
  </si>
  <si>
    <t>Bones Hyland</t>
  </si>
  <si>
    <t>Wilmington</t>
  </si>
  <si>
    <t>Delaware</t>
  </si>
  <si>
    <t>Kasparas Jukucionis</t>
  </si>
  <si>
    <t>Vilnius</t>
  </si>
  <si>
    <t>Lithuania</t>
  </si>
  <si>
    <t>Jamie Jacquez</t>
  </si>
  <si>
    <t>Irvine</t>
  </si>
  <si>
    <t>Moses Moody</t>
  </si>
  <si>
    <t>Little Rock</t>
  </si>
  <si>
    <t xml:space="preserve">Chris Duarte </t>
  </si>
  <si>
    <t>Puerto Plata</t>
  </si>
  <si>
    <t xml:space="preserve">Dominican Republic </t>
  </si>
  <si>
    <t>Johnny Davis</t>
  </si>
  <si>
    <t>La Crosse</t>
  </si>
  <si>
    <t>Matt Painter</t>
  </si>
  <si>
    <t>Purdue</t>
  </si>
  <si>
    <t>Zach Edey</t>
  </si>
  <si>
    <t>7'10</t>
  </si>
  <si>
    <t>Anthony Black</t>
  </si>
  <si>
    <t>Duncanville</t>
  </si>
  <si>
    <t xml:space="preserve">Jaden Ivey </t>
  </si>
  <si>
    <t xml:space="preserve">Big Ten </t>
  </si>
  <si>
    <t xml:space="preserve">Steve Pikiell </t>
  </si>
  <si>
    <t xml:space="preserve">Rutgers </t>
  </si>
  <si>
    <t>Ace Bailey</t>
  </si>
  <si>
    <t>Rutgers</t>
  </si>
  <si>
    <t>Chattanooga</t>
  </si>
  <si>
    <t xml:space="preserve">Dylan Harper </t>
  </si>
  <si>
    <t xml:space="preserve">Freshman </t>
  </si>
  <si>
    <t>Franklin Lakes</t>
  </si>
  <si>
    <t>Baltimore</t>
  </si>
  <si>
    <t xml:space="preserve">Kobe Johnson </t>
  </si>
  <si>
    <t>Milwaukee</t>
  </si>
  <si>
    <t xml:space="preserve">Jon Scheyer </t>
  </si>
  <si>
    <t>Duke</t>
  </si>
  <si>
    <t>ACC</t>
  </si>
  <si>
    <t>Dereck Lively</t>
  </si>
  <si>
    <t>Trendon Watford</t>
  </si>
  <si>
    <t>LSU</t>
  </si>
  <si>
    <t>Dariq Whitehead</t>
  </si>
  <si>
    <t>Judah Mintz</t>
  </si>
  <si>
    <t xml:space="preserve">Syracuse </t>
  </si>
  <si>
    <t>Ft. Washington</t>
  </si>
  <si>
    <t>Kyle Filipowski</t>
  </si>
  <si>
    <t xml:space="preserve">Huner Sallis </t>
  </si>
  <si>
    <t xml:space="preserve">Wake Forest </t>
  </si>
  <si>
    <t>Jared McCain</t>
  </si>
  <si>
    <t>Cooper Flagg</t>
  </si>
  <si>
    <t xml:space="preserve">Grant Riller </t>
  </si>
  <si>
    <t xml:space="preserve">Charleston </t>
  </si>
  <si>
    <t>CAA</t>
  </si>
  <si>
    <t xml:space="preserve">Orlando </t>
  </si>
  <si>
    <t>Kon Knueppel</t>
  </si>
  <si>
    <t>Bronny James</t>
  </si>
  <si>
    <t>Khaman Maluach</t>
  </si>
  <si>
    <t xml:space="preserve">Quinten Post </t>
  </si>
  <si>
    <t xml:space="preserve">Boston College </t>
  </si>
  <si>
    <t>Amsterdam</t>
  </si>
  <si>
    <t>The Netherlands</t>
  </si>
  <si>
    <t xml:space="preserve">Skylar Mays </t>
  </si>
  <si>
    <t>Baton Rouge</t>
  </si>
  <si>
    <t>Tyrese Proctor</t>
  </si>
  <si>
    <t>Isaiah Mobley</t>
  </si>
  <si>
    <t>Murrieta</t>
  </si>
  <si>
    <t>Sion James</t>
  </si>
  <si>
    <t xml:space="preserve">Australia </t>
  </si>
  <si>
    <t>Brad Brownwell</t>
  </si>
  <si>
    <t>Clemson</t>
  </si>
  <si>
    <t xml:space="preserve">Hunter Tyson </t>
  </si>
  <si>
    <t xml:space="preserve">RS Sophmore </t>
  </si>
  <si>
    <t>Harrison Ingram</t>
  </si>
  <si>
    <t>Dallas</t>
  </si>
  <si>
    <t>Steve Forbes</t>
  </si>
  <si>
    <t>Wake Forest</t>
  </si>
  <si>
    <t xml:space="preserve">Jake LaRavia </t>
  </si>
  <si>
    <t xml:space="preserve">CJ Ellleby </t>
  </si>
  <si>
    <t>Washington State</t>
  </si>
  <si>
    <t>West Coast</t>
  </si>
  <si>
    <t>Seattle</t>
  </si>
  <si>
    <t>Jamir Watkins</t>
  </si>
  <si>
    <t>Florida State</t>
  </si>
  <si>
    <t>Trenton</t>
  </si>
  <si>
    <t xml:space="preserve">Earl Grant </t>
  </si>
  <si>
    <t>Boston College</t>
  </si>
  <si>
    <t>Maxime Raynaud</t>
  </si>
  <si>
    <t>Stanford</t>
  </si>
  <si>
    <t>Paris</t>
  </si>
  <si>
    <t>France</t>
  </si>
  <si>
    <t>Mouhamed Gueye</t>
  </si>
  <si>
    <t>Dakar</t>
  </si>
  <si>
    <t>Senegal</t>
  </si>
  <si>
    <t xml:space="preserve">Andy Enfield </t>
  </si>
  <si>
    <t>SMU</t>
  </si>
  <si>
    <t>Onyeka Okongwu</t>
  </si>
  <si>
    <t>Graduate Senior</t>
  </si>
  <si>
    <t>Monroe</t>
  </si>
  <si>
    <t>Evan Mobley</t>
  </si>
  <si>
    <t>Seth Lundy</t>
  </si>
  <si>
    <t>Paulsboro</t>
  </si>
  <si>
    <t>6'6.5</t>
  </si>
  <si>
    <t>Sugar Hill</t>
  </si>
  <si>
    <t>Isaiah Collier</t>
  </si>
  <si>
    <t>Jalen Pickett</t>
  </si>
  <si>
    <t>Rochester</t>
  </si>
  <si>
    <t>6'10.5</t>
  </si>
  <si>
    <t>Middletown</t>
  </si>
  <si>
    <t>Micah Shrewsberry</t>
  </si>
  <si>
    <t>Notre Dame</t>
  </si>
  <si>
    <t>Atlanta</t>
  </si>
  <si>
    <t xml:space="preserve">Cam Thomas </t>
  </si>
  <si>
    <t>Chesapeake</t>
  </si>
  <si>
    <t>Virginia</t>
  </si>
  <si>
    <t xml:space="preserve">Kyle Smith </t>
  </si>
  <si>
    <t>Newark</t>
  </si>
  <si>
    <t>Drake Powell</t>
  </si>
  <si>
    <t>Pittsboro</t>
  </si>
  <si>
    <t>Jaylon Tyson</t>
  </si>
  <si>
    <t>Cal Berkley</t>
  </si>
  <si>
    <t>Plano</t>
  </si>
  <si>
    <t>Mark Madsen</t>
  </si>
  <si>
    <t xml:space="preserve">Cal Berkely </t>
  </si>
  <si>
    <t>6'9.5</t>
  </si>
  <si>
    <t>Hubert Davis</t>
  </si>
  <si>
    <t>Tari Eason</t>
  </si>
  <si>
    <t>6'3.5</t>
  </si>
  <si>
    <t>Sacramento</t>
  </si>
  <si>
    <t xml:space="preserve">Will Wade </t>
  </si>
  <si>
    <t xml:space="preserve">NC State </t>
  </si>
  <si>
    <t xml:space="preserve">Bub Carrington </t>
  </si>
  <si>
    <t xml:space="preserve">Pittsburgh </t>
  </si>
  <si>
    <t>7'7</t>
  </si>
  <si>
    <t>Rumbek</t>
  </si>
  <si>
    <t>South Sudan</t>
  </si>
  <si>
    <t>Freshamn</t>
  </si>
  <si>
    <t>Chino Hills</t>
  </si>
  <si>
    <t xml:space="preserve">Adrian Autry </t>
  </si>
  <si>
    <t xml:space="preserve">Jeff Capel </t>
  </si>
  <si>
    <t>Pittsburgh</t>
  </si>
  <si>
    <t>Luke Louks</t>
  </si>
  <si>
    <t>FSU</t>
  </si>
  <si>
    <t>7'</t>
  </si>
  <si>
    <t>Newport</t>
  </si>
  <si>
    <t>Maine</t>
  </si>
  <si>
    <t>Miami</t>
  </si>
  <si>
    <t xml:space="preserve">Jamie Dixton </t>
  </si>
  <si>
    <t xml:space="preserve">TCU </t>
  </si>
  <si>
    <t xml:space="preserve">Big 12 </t>
  </si>
  <si>
    <t>Mike Miles</t>
  </si>
  <si>
    <t>TCU</t>
  </si>
  <si>
    <t>6'2"</t>
  </si>
  <si>
    <t>6'0.5"</t>
  </si>
  <si>
    <t xml:space="preserve">Lancaster </t>
  </si>
  <si>
    <t>TX</t>
  </si>
  <si>
    <t>Tommy Lloyd</t>
  </si>
  <si>
    <t xml:space="preserve">Sophomore </t>
  </si>
  <si>
    <t>7'2"</t>
  </si>
  <si>
    <t xml:space="preserve">Bill Self </t>
  </si>
  <si>
    <t>Kansas</t>
  </si>
  <si>
    <t>Devin Dotson</t>
  </si>
  <si>
    <t>6'3.25"</t>
  </si>
  <si>
    <t xml:space="preserve">Charlotte </t>
  </si>
  <si>
    <t>NC</t>
  </si>
  <si>
    <t xml:space="preserve">Marcus Garrett </t>
  </si>
  <si>
    <t>6'5"</t>
  </si>
  <si>
    <t>6'9.75"</t>
  </si>
  <si>
    <t xml:space="preserve">Dallas </t>
  </si>
  <si>
    <t xml:space="preserve">Bobby Hurley </t>
  </si>
  <si>
    <t xml:space="preserve">Arizona State </t>
  </si>
  <si>
    <t xml:space="preserve">Marcus Bagley </t>
  </si>
  <si>
    <t>Arizona State</t>
  </si>
  <si>
    <t>6'8"</t>
  </si>
  <si>
    <t>6'11"</t>
  </si>
  <si>
    <t>CA</t>
  </si>
  <si>
    <t xml:space="preserve">Grant McCasland </t>
  </si>
  <si>
    <t xml:space="preserve">Texas Tech </t>
  </si>
  <si>
    <t>Steve Lutz</t>
  </si>
  <si>
    <t xml:space="preserve">Oklahoma State </t>
  </si>
  <si>
    <t xml:space="preserve">Wes Miller </t>
  </si>
  <si>
    <t xml:space="preserve">Cincinnati </t>
  </si>
  <si>
    <t xml:space="preserve">Craig Smith </t>
  </si>
  <si>
    <t xml:space="preserve">Utah </t>
  </si>
  <si>
    <t xml:space="preserve">Sam Merril </t>
  </si>
  <si>
    <t xml:space="preserve">Utah State </t>
  </si>
  <si>
    <t>Bountiful</t>
  </si>
  <si>
    <t>UT</t>
  </si>
  <si>
    <t>Tad Boyle</t>
  </si>
  <si>
    <t xml:space="preserve">Colorado </t>
  </si>
  <si>
    <t xml:space="preserve">Jabari Walker </t>
  </si>
  <si>
    <t>6'10.75"</t>
  </si>
  <si>
    <t>Inglewood</t>
  </si>
  <si>
    <t>Kevin McCullar</t>
  </si>
  <si>
    <t>Grad Senior</t>
  </si>
  <si>
    <t>6'6"</t>
  </si>
  <si>
    <t>6'9"</t>
  </si>
  <si>
    <t>San Antonio</t>
  </si>
  <si>
    <t xml:space="preserve">Jalen Wilson </t>
  </si>
  <si>
    <t xml:space="preserve">RS Junior </t>
  </si>
  <si>
    <t xml:space="preserve">Denton </t>
  </si>
  <si>
    <t>Jerome Tang</t>
  </si>
  <si>
    <t xml:space="preserve">Kansas State </t>
  </si>
  <si>
    <t>Keyontae Johnson</t>
  </si>
  <si>
    <t>Kansas State</t>
  </si>
  <si>
    <t>7'0"</t>
  </si>
  <si>
    <t xml:space="preserve">Norfolk </t>
  </si>
  <si>
    <t>VA</t>
  </si>
  <si>
    <t xml:space="preserve">Scott Drew </t>
  </si>
  <si>
    <t xml:space="preserve">Baylor </t>
  </si>
  <si>
    <t>Kendall Brown</t>
  </si>
  <si>
    <t>Baylor</t>
  </si>
  <si>
    <t>Cottage Grove</t>
  </si>
  <si>
    <t>MN</t>
  </si>
  <si>
    <t xml:space="preserve">Kevin Sampson </t>
  </si>
  <si>
    <t xml:space="preserve">Houston </t>
  </si>
  <si>
    <t>Jamal Shead</t>
  </si>
  <si>
    <t>6'1"</t>
  </si>
  <si>
    <t>6'3"</t>
  </si>
  <si>
    <t>Manor</t>
  </si>
  <si>
    <t>Pelle Larsson</t>
  </si>
  <si>
    <t>Nacka</t>
  </si>
  <si>
    <t>Sweden</t>
  </si>
  <si>
    <t xml:space="preserve">K.J. Simpson </t>
  </si>
  <si>
    <t>6'4.5"</t>
  </si>
  <si>
    <t>West Hills</t>
  </si>
  <si>
    <t>Jared Butler</t>
  </si>
  <si>
    <t>6' 7.25"</t>
  </si>
  <si>
    <t>Reserve</t>
  </si>
  <si>
    <t>LA</t>
  </si>
  <si>
    <t xml:space="preserve">Neemias Queta </t>
  </si>
  <si>
    <t>Utah State</t>
  </si>
  <si>
    <t>7'4"</t>
  </si>
  <si>
    <t>Barreiro</t>
  </si>
  <si>
    <t>Portugal</t>
  </si>
  <si>
    <t xml:space="preserve">Tyler Bey </t>
  </si>
  <si>
    <t>6'7"</t>
  </si>
  <si>
    <t>7'1.25"</t>
  </si>
  <si>
    <t>Las Vegas</t>
  </si>
  <si>
    <t>NV</t>
  </si>
  <si>
    <t xml:space="preserve">Johnny Furphy </t>
  </si>
  <si>
    <t>Melbourne</t>
  </si>
  <si>
    <t xml:space="preserve">Christian Koloko </t>
  </si>
  <si>
    <t>7'1"</t>
  </si>
  <si>
    <t>7'5.25"</t>
  </si>
  <si>
    <t>Douala</t>
  </si>
  <si>
    <t>Cameroon</t>
  </si>
  <si>
    <t>Desmond Bane</t>
  </si>
  <si>
    <t>6'4.25"</t>
  </si>
  <si>
    <t>Richmond</t>
  </si>
  <si>
    <t>IN</t>
  </si>
  <si>
    <t xml:space="preserve">Udoka Azibuike </t>
  </si>
  <si>
    <t>7'7.25"</t>
  </si>
  <si>
    <t>Delta</t>
  </si>
  <si>
    <t>Quentin Grimes</t>
  </si>
  <si>
    <t>The Woodlands</t>
  </si>
  <si>
    <t>Marcus Sasser</t>
  </si>
  <si>
    <t>Red Oak</t>
  </si>
  <si>
    <t xml:space="preserve">Josh Christopher </t>
  </si>
  <si>
    <t>6'9.25"</t>
  </si>
  <si>
    <t>Carson</t>
  </si>
  <si>
    <t>Yves Messi</t>
  </si>
  <si>
    <t>6'10"</t>
  </si>
  <si>
    <t>Yaounde</t>
  </si>
  <si>
    <t xml:space="preserve">Christian Braun </t>
  </si>
  <si>
    <t>6'6.5"</t>
  </si>
  <si>
    <t>Overland Park</t>
  </si>
  <si>
    <t>KS</t>
  </si>
  <si>
    <t>Jakobe Walter</t>
  </si>
  <si>
    <t>McKinney</t>
  </si>
  <si>
    <t xml:space="preserve">Dalen Terry </t>
  </si>
  <si>
    <t>7'0.75"</t>
  </si>
  <si>
    <t>South Phoenix</t>
  </si>
  <si>
    <t>AZ</t>
  </si>
  <si>
    <t xml:space="preserve">Tristan Da Silva </t>
  </si>
  <si>
    <t>6'10.25"</t>
  </si>
  <si>
    <t>Munich</t>
  </si>
  <si>
    <t>Germany</t>
  </si>
  <si>
    <t>Keyonte George</t>
  </si>
  <si>
    <t>6'4"</t>
  </si>
  <si>
    <t>6'7.75"</t>
  </si>
  <si>
    <t>Lewisville</t>
  </si>
  <si>
    <t xml:space="preserve">Carter Bryant </t>
  </si>
  <si>
    <t>7'0.25"</t>
  </si>
  <si>
    <t xml:space="preserve">Riverside </t>
  </si>
  <si>
    <t>Ochai Agbaji</t>
  </si>
  <si>
    <t>Kansas City</t>
  </si>
  <si>
    <t>MO</t>
  </si>
  <si>
    <t>Grady Dick</t>
  </si>
  <si>
    <t>Big12</t>
  </si>
  <si>
    <t>6'8.75"</t>
  </si>
  <si>
    <t>Wichita</t>
  </si>
  <si>
    <t>Cody Williams</t>
  </si>
  <si>
    <t>Gilbert</t>
  </si>
  <si>
    <t>Davion Mitchell</t>
  </si>
  <si>
    <t>6'4.25''</t>
  </si>
  <si>
    <t>Hinesville</t>
  </si>
  <si>
    <t>GA</t>
  </si>
  <si>
    <t>Jeremy Sochan</t>
  </si>
  <si>
    <t>Milton Keynes</t>
  </si>
  <si>
    <t>Johnny Dawkins</t>
  </si>
  <si>
    <t xml:space="preserve">UCF </t>
  </si>
  <si>
    <t>Taylor Hendricks</t>
  </si>
  <si>
    <t>UCF</t>
  </si>
  <si>
    <t xml:space="preserve">Undrafted </t>
  </si>
  <si>
    <t>7'0.5"</t>
  </si>
  <si>
    <t xml:space="preserve">Fort Lauderdale </t>
  </si>
  <si>
    <t>FL</t>
  </si>
  <si>
    <t xml:space="preserve">Kevin Young </t>
  </si>
  <si>
    <t xml:space="preserve">BYU </t>
  </si>
  <si>
    <t xml:space="preserve">Egor Denim </t>
  </si>
  <si>
    <t>Moscow</t>
  </si>
  <si>
    <t>Russia</t>
  </si>
  <si>
    <t>Jarace Walker</t>
  </si>
  <si>
    <t>7'2.5"</t>
  </si>
  <si>
    <t>New Freedom</t>
  </si>
  <si>
    <t>PA</t>
  </si>
  <si>
    <t>Bennedict Mathurin</t>
  </si>
  <si>
    <t>Montreal</t>
  </si>
  <si>
    <t>Quebec</t>
  </si>
  <si>
    <t>VJ Edgecombe</t>
  </si>
  <si>
    <t>6'7.5"</t>
  </si>
  <si>
    <t>Bimini</t>
  </si>
  <si>
    <t>Bahamas</t>
  </si>
  <si>
    <t xml:space="preserve">Ross Hodge </t>
  </si>
  <si>
    <t>WVU</t>
  </si>
  <si>
    <t>Danny Hurley</t>
  </si>
  <si>
    <t>UCONN</t>
  </si>
  <si>
    <t>Alex Karaban</t>
  </si>
  <si>
    <t>Southborough</t>
  </si>
  <si>
    <t xml:space="preserve">Massachusetts </t>
  </si>
  <si>
    <t xml:space="preserve">Shaka Smart </t>
  </si>
  <si>
    <t>Marquette</t>
  </si>
  <si>
    <t>Justin Lewis</t>
  </si>
  <si>
    <t>7'2.50"</t>
  </si>
  <si>
    <t>MD</t>
  </si>
  <si>
    <t>Greg McDermott</t>
  </si>
  <si>
    <t>Creighton</t>
  </si>
  <si>
    <t>Trey Alexander</t>
  </si>
  <si>
    <t>6'10.5"</t>
  </si>
  <si>
    <t>Oklahoma City</t>
  </si>
  <si>
    <t>OK</t>
  </si>
  <si>
    <t xml:space="preserve">Ed Cooley </t>
  </si>
  <si>
    <t>Georgetown</t>
  </si>
  <si>
    <t xml:space="preserve">AJ Reeves </t>
  </si>
  <si>
    <t>Providence</t>
  </si>
  <si>
    <t>Roxbury</t>
  </si>
  <si>
    <t>MA</t>
  </si>
  <si>
    <t xml:space="preserve">Rick Pitino </t>
  </si>
  <si>
    <t>St Johns</t>
  </si>
  <si>
    <t xml:space="preserve">Thad Matta </t>
  </si>
  <si>
    <t>Butler</t>
  </si>
  <si>
    <t>Shaheen Halloway</t>
  </si>
  <si>
    <t xml:space="preserve">Seton Hall </t>
  </si>
  <si>
    <t>Jericho Sims</t>
  </si>
  <si>
    <t xml:space="preserve">Minnesota </t>
  </si>
  <si>
    <t xml:space="preserve">Cam Spencer </t>
  </si>
  <si>
    <t xml:space="preserve">Tyrese Martin </t>
  </si>
  <si>
    <t xml:space="preserve">Allentown </t>
  </si>
  <si>
    <t xml:space="preserve">Pennsylvania </t>
  </si>
  <si>
    <t xml:space="preserve">Kevin Willard </t>
  </si>
  <si>
    <t xml:space="preserve">Vilanova </t>
  </si>
  <si>
    <t>Sandro Mamukelashvili</t>
  </si>
  <si>
    <t xml:space="preserve">Villanova </t>
  </si>
  <si>
    <t xml:space="preserve">Tristen Newton </t>
  </si>
  <si>
    <t>El Paso</t>
  </si>
  <si>
    <t>Marcus Zegarowski</t>
  </si>
  <si>
    <t>6'2.75"</t>
  </si>
  <si>
    <t>Hamilton</t>
  </si>
  <si>
    <t>Greg Brown III</t>
  </si>
  <si>
    <t>Chris Holtmann</t>
  </si>
  <si>
    <t>Depaul</t>
  </si>
  <si>
    <t>EJ Liddell</t>
  </si>
  <si>
    <t xml:space="preserve">Big 10 </t>
  </si>
  <si>
    <t>6'11.75"</t>
  </si>
  <si>
    <t>Belleville</t>
  </si>
  <si>
    <t>IL</t>
  </si>
  <si>
    <t>Oso Ighodaro</t>
  </si>
  <si>
    <t xml:space="preserve">Chandler </t>
  </si>
  <si>
    <t>Micah peavy</t>
  </si>
  <si>
    <t xml:space="preserve">6'7" </t>
  </si>
  <si>
    <t>6'7.25"</t>
  </si>
  <si>
    <t>Cibolo</t>
  </si>
  <si>
    <t>Kam Jones</t>
  </si>
  <si>
    <t>Cordova</t>
  </si>
  <si>
    <t>TN</t>
  </si>
  <si>
    <t>Andre Jackson</t>
  </si>
  <si>
    <t>Tyler Kolek</t>
  </si>
  <si>
    <t xml:space="preserve">Cumberland </t>
  </si>
  <si>
    <t>RI</t>
  </si>
  <si>
    <t>Ryan Kalkbrenner</t>
  </si>
  <si>
    <t>7'6"</t>
  </si>
  <si>
    <t>St. Louis</t>
  </si>
  <si>
    <t>Richard Pitino</t>
  </si>
  <si>
    <t xml:space="preserve">Xavier </t>
  </si>
  <si>
    <t>Daniel Oturo</t>
  </si>
  <si>
    <t>7'3"</t>
  </si>
  <si>
    <t>Woodbury</t>
  </si>
  <si>
    <t>Baylor Scheierman</t>
  </si>
  <si>
    <t>6'8.25"</t>
  </si>
  <si>
    <t>Aurora</t>
  </si>
  <si>
    <t>NE</t>
  </si>
  <si>
    <t>Liam McNeeley</t>
  </si>
  <si>
    <t>Brice Sensabaugh</t>
  </si>
  <si>
    <t>Orlando</t>
  </si>
  <si>
    <t>Olivier Maxence-Prosper</t>
  </si>
  <si>
    <t>Malaki Branham</t>
  </si>
  <si>
    <t>Colombus</t>
  </si>
  <si>
    <t>OH</t>
  </si>
  <si>
    <t>Kai Jones</t>
  </si>
  <si>
    <t>7'1.75"</t>
  </si>
  <si>
    <t>Nassau</t>
  </si>
  <si>
    <t>Thomas Sorber</t>
  </si>
  <si>
    <t>NJ</t>
  </si>
  <si>
    <t xml:space="preserve">Jordan Hawkins </t>
  </si>
  <si>
    <t>Gaithersburg</t>
  </si>
  <si>
    <t xml:space="preserve">Derik Queen </t>
  </si>
  <si>
    <t>Kim English</t>
  </si>
  <si>
    <t xml:space="preserve">Devin Carter </t>
  </si>
  <si>
    <t>James Bouknight</t>
  </si>
  <si>
    <t xml:space="preserve">7' </t>
  </si>
  <si>
    <t>Brooklyn</t>
  </si>
  <si>
    <t xml:space="preserve">Donovan Clingan </t>
  </si>
  <si>
    <t>Bristol</t>
  </si>
  <si>
    <t>Connecticut</t>
  </si>
  <si>
    <t xml:space="preserve">Stephon Castle </t>
  </si>
  <si>
    <t>Covington</t>
  </si>
  <si>
    <t xml:space="preserve">Georgia </t>
  </si>
  <si>
    <t>Andy Kennedy</t>
  </si>
  <si>
    <t>UAB</t>
  </si>
  <si>
    <t>Penny Hardaway</t>
  </si>
  <si>
    <t>American</t>
  </si>
  <si>
    <t xml:space="preserve">James wiseman </t>
  </si>
  <si>
    <t xml:space="preserve">Memphis </t>
  </si>
  <si>
    <t>7'6</t>
  </si>
  <si>
    <t>Precious Achiuwa</t>
  </si>
  <si>
    <t>Bronx</t>
  </si>
  <si>
    <t>Jalen Duren</t>
  </si>
  <si>
    <t>Sharon Hill</t>
  </si>
  <si>
    <t>Josh Minott</t>
  </si>
  <si>
    <t>Boca Raton</t>
  </si>
  <si>
    <t>Nae'Quan Tomlin</t>
  </si>
  <si>
    <t>Harlem</t>
  </si>
  <si>
    <t>Ron Hunter</t>
  </si>
  <si>
    <t>Tulane</t>
  </si>
  <si>
    <t>Adam Fisher</t>
  </si>
  <si>
    <t>Temple</t>
  </si>
  <si>
    <t>Paul Mills</t>
  </si>
  <si>
    <t>Wichita State</t>
  </si>
  <si>
    <t>Michael Schwartz</t>
  </si>
  <si>
    <t>E. Carolina</t>
  </si>
  <si>
    <t>Eric Konkol</t>
  </si>
  <si>
    <t>Tulsa</t>
  </si>
  <si>
    <t>Aaaon Fearne</t>
  </si>
  <si>
    <t>John Jakus</t>
  </si>
  <si>
    <t>Florida Atlantic</t>
  </si>
  <si>
    <t>Daniyal Robinson</t>
  </si>
  <si>
    <t>North Texas</t>
  </si>
  <si>
    <t>Rob Lanier</t>
  </si>
  <si>
    <t>Rice</t>
  </si>
  <si>
    <t>Bryan Hodgson</t>
  </si>
  <si>
    <t>USF</t>
  </si>
  <si>
    <t>Austin Claunch</t>
  </si>
  <si>
    <t>UTSA</t>
  </si>
  <si>
    <t>Leon Rice</t>
  </si>
  <si>
    <t>Boise State</t>
  </si>
  <si>
    <t xml:space="preserve">Mountain West </t>
  </si>
  <si>
    <t>Derrick Alston</t>
  </si>
  <si>
    <t>Justinian Jessup</t>
  </si>
  <si>
    <t xml:space="preserve">Longmont </t>
  </si>
  <si>
    <t>CO</t>
  </si>
  <si>
    <t>Brian Dutcher</t>
  </si>
  <si>
    <t>San Diego State</t>
  </si>
  <si>
    <t>Malachi Flynn</t>
  </si>
  <si>
    <t>Tacoma</t>
  </si>
  <si>
    <t>WA</t>
  </si>
  <si>
    <t>Steve Alford</t>
  </si>
  <si>
    <t>Nevada</t>
  </si>
  <si>
    <t xml:space="preserve">Jalen Harris </t>
  </si>
  <si>
    <t>Ali Farokhmanesh</t>
  </si>
  <si>
    <t>Nique Clifford</t>
  </si>
  <si>
    <t>Colorado Springs</t>
  </si>
  <si>
    <t>Jerrod Calhoun</t>
  </si>
  <si>
    <t>Sundance Wicks</t>
  </si>
  <si>
    <t>Wyoming</t>
  </si>
  <si>
    <t>Joe Scott</t>
  </si>
  <si>
    <t>Air Force</t>
  </si>
  <si>
    <t>Vance Walberg</t>
  </si>
  <si>
    <t>Fresno State</t>
  </si>
  <si>
    <t>Eric Olen</t>
  </si>
  <si>
    <t>New Mexico</t>
  </si>
  <si>
    <t>Tim Miles</t>
  </si>
  <si>
    <t>SJSU</t>
  </si>
  <si>
    <t>Josh Pastner</t>
  </si>
  <si>
    <t>UNLV</t>
  </si>
  <si>
    <t>Mark Few</t>
  </si>
  <si>
    <t>Gonzaga</t>
  </si>
  <si>
    <t>WCC</t>
  </si>
  <si>
    <t>Filip Petrusev</t>
  </si>
  <si>
    <t>Belgrade</t>
  </si>
  <si>
    <t>Serbia</t>
  </si>
  <si>
    <t>Corey Kispert</t>
  </si>
  <si>
    <t>Edmonds</t>
  </si>
  <si>
    <t>Jalen Suggs</t>
  </si>
  <si>
    <t>West St. Paul</t>
  </si>
  <si>
    <t>Andrew Nembhard</t>
  </si>
  <si>
    <t>Chet Holmgren</t>
  </si>
  <si>
    <t>Julian Strawther</t>
  </si>
  <si>
    <t>Drew Timme</t>
  </si>
  <si>
    <t>Anton Watson</t>
  </si>
  <si>
    <t>Graduate</t>
  </si>
  <si>
    <t>Spokane</t>
  </si>
  <si>
    <t>Herb Sendek</t>
  </si>
  <si>
    <t>Santa Clara</t>
  </si>
  <si>
    <t>Jalen Williams</t>
  </si>
  <si>
    <t xml:space="preserve">Gilbert </t>
  </si>
  <si>
    <t>Brandin Podziemski</t>
  </si>
  <si>
    <t>Muskego</t>
  </si>
  <si>
    <t>Chris Gerlufsen</t>
  </si>
  <si>
    <t>San Fransisco</t>
  </si>
  <si>
    <t>Jonathon Mogbo</t>
  </si>
  <si>
    <t>West Palm Beach</t>
  </si>
  <si>
    <t>David Riley</t>
  </si>
  <si>
    <t>Jaylen Wells</t>
  </si>
  <si>
    <t>Eastern Washington</t>
  </si>
  <si>
    <t>Big Sky</t>
  </si>
  <si>
    <t>Cedric Coward</t>
  </si>
  <si>
    <t>Fresno</t>
  </si>
  <si>
    <t>Shantay Legans</t>
  </si>
  <si>
    <t xml:space="preserve">Portland </t>
  </si>
  <si>
    <t>Dave Smart</t>
  </si>
  <si>
    <t>Pacific</t>
  </si>
  <si>
    <t>Stan Johnson</t>
  </si>
  <si>
    <t>Loyola Marymount</t>
  </si>
  <si>
    <t>Steve Lavin</t>
  </si>
  <si>
    <t>San Diego</t>
  </si>
  <si>
    <t>Wayne Tinkle</t>
  </si>
  <si>
    <t>Oregon State</t>
  </si>
  <si>
    <t>Ed Schilling</t>
  </si>
  <si>
    <t>pepperdine</t>
  </si>
  <si>
    <t>Randy Bennett</t>
  </si>
  <si>
    <t>Saint Mary's</t>
  </si>
  <si>
    <t>Kenny Blakeney</t>
  </si>
  <si>
    <t>Howard (MEAC)</t>
  </si>
  <si>
    <t>MEAC</t>
  </si>
  <si>
    <t>Makur-Makur</t>
  </si>
  <si>
    <t>Howard</t>
  </si>
  <si>
    <t xml:space="preserve">Perth </t>
  </si>
  <si>
    <t>Joe Pasternack</t>
  </si>
  <si>
    <t>UC Santa Barbara (Big West)</t>
  </si>
  <si>
    <t>Big West</t>
  </si>
  <si>
    <t>Ajay Mitchell</t>
  </si>
  <si>
    <t>UC Santa Barbara</t>
  </si>
  <si>
    <t>Liege</t>
  </si>
  <si>
    <t>Belgium</t>
  </si>
  <si>
    <t>Bob Richey</t>
  </si>
  <si>
    <t>Furman (Southern)</t>
  </si>
  <si>
    <t>Southern</t>
  </si>
  <si>
    <t>Jalen Slawson</t>
  </si>
  <si>
    <t>Furman</t>
  </si>
  <si>
    <t>Summerville</t>
  </si>
  <si>
    <t>Anthony Grant</t>
  </si>
  <si>
    <t>Dayton (A10)</t>
  </si>
  <si>
    <t xml:space="preserve">A 10 </t>
  </si>
  <si>
    <t>Toumani Camara</t>
  </si>
  <si>
    <t>Dayton</t>
  </si>
  <si>
    <t>Brussels</t>
  </si>
  <si>
    <t>Fran McCaffery</t>
  </si>
  <si>
    <t xml:space="preserve">Penn </t>
  </si>
  <si>
    <t>Ivy League</t>
  </si>
  <si>
    <t>Luka Garza</t>
  </si>
  <si>
    <t xml:space="preserve">Iowa </t>
  </si>
  <si>
    <t>DC</t>
  </si>
  <si>
    <t>Stan Heath</t>
  </si>
  <si>
    <t>Eastern Michigan (MAC)</t>
  </si>
  <si>
    <t>MAC</t>
  </si>
  <si>
    <t>Emoni Bates</t>
  </si>
  <si>
    <t>Sohpomore</t>
  </si>
  <si>
    <t>Eastern Michigan</t>
  </si>
  <si>
    <t>Ypsilanti</t>
  </si>
  <si>
    <t>Tod Kowalczyk</t>
  </si>
  <si>
    <t>Toledo (MAC)</t>
  </si>
  <si>
    <t xml:space="preserve">Ryan Rollins </t>
  </si>
  <si>
    <t>Toledo</t>
  </si>
  <si>
    <t>Macomb</t>
  </si>
  <si>
    <t>Joe Weiscamp</t>
  </si>
  <si>
    <t>Muscatine</t>
  </si>
  <si>
    <t>Jeff Boals</t>
  </si>
  <si>
    <t>Ohio (MAC)</t>
  </si>
  <si>
    <t>Jason Preston</t>
  </si>
  <si>
    <t xml:space="preserve">Ohio </t>
  </si>
  <si>
    <t>Casey Alexander</t>
  </si>
  <si>
    <t>Belmont (M Valley)</t>
  </si>
  <si>
    <t>M Valley</t>
  </si>
  <si>
    <t>Ben Sheppard</t>
  </si>
  <si>
    <t>Belmont</t>
  </si>
  <si>
    <t>Eric Duft</t>
  </si>
  <si>
    <t>Weber State (Big Sky)</t>
  </si>
  <si>
    <t xml:space="preserve">Big Sky </t>
  </si>
  <si>
    <t>Dillon Jones</t>
  </si>
  <si>
    <t>Weber State</t>
  </si>
  <si>
    <t xml:space="preserve">Kris Murray </t>
  </si>
  <si>
    <t>Cedar Rapids</t>
  </si>
  <si>
    <t>DaRon Holmes II</t>
  </si>
  <si>
    <t>Goodyear</t>
  </si>
  <si>
    <t>Obi Topin</t>
  </si>
  <si>
    <t>A 10</t>
  </si>
  <si>
    <t>Ossining</t>
  </si>
  <si>
    <t>Keegan Murray</t>
  </si>
  <si>
    <t>Dan D'Antoni</t>
  </si>
  <si>
    <t>Taevion Kinsey</t>
  </si>
  <si>
    <t xml:space="preserve">Marshall </t>
  </si>
  <si>
    <t>Sun Belt</t>
  </si>
  <si>
    <t>Columbus</t>
  </si>
  <si>
    <t>Mike Krzyzewski</t>
  </si>
  <si>
    <t>DJ Steward</t>
  </si>
  <si>
    <t>Oak Park</t>
  </si>
  <si>
    <t>Matthew Hurt</t>
  </si>
  <si>
    <t>Tony Bennett</t>
  </si>
  <si>
    <t>Mamadi Diakite</t>
  </si>
  <si>
    <t>Conakry</t>
  </si>
  <si>
    <t>Guinea</t>
  </si>
  <si>
    <t>Reece Beekman</t>
  </si>
  <si>
    <t>Kevin Keatts</t>
  </si>
  <si>
    <t>Terquavian Smith</t>
  </si>
  <si>
    <t>NC State</t>
  </si>
  <si>
    <t>Greenville</t>
  </si>
  <si>
    <t>Leonard Hamilton</t>
  </si>
  <si>
    <t>Raiquan Gray</t>
  </si>
  <si>
    <t>Fort Lauderdale</t>
  </si>
  <si>
    <t>Balsa Koprivica</t>
  </si>
  <si>
    <t>Mike Woodson</t>
  </si>
  <si>
    <t>Trayce Jackson-Davis</t>
  </si>
  <si>
    <t>Greenwood</t>
  </si>
  <si>
    <t>Jim Larranaga</t>
  </si>
  <si>
    <t>Isaiah Wong</t>
  </si>
  <si>
    <t xml:space="preserve">Miami </t>
  </si>
  <si>
    <t>Piscataway</t>
  </si>
  <si>
    <t>Cassius Stanley</t>
  </si>
  <si>
    <t xml:space="preserve">Los Angeles </t>
  </si>
  <si>
    <t>Jordan Miller</t>
  </si>
  <si>
    <t>Middleburg</t>
  </si>
  <si>
    <t>Ben Johnson</t>
  </si>
  <si>
    <t>Cameron Christie</t>
  </si>
  <si>
    <t>Juwan Howard</t>
  </si>
  <si>
    <t>Moussa Diabete</t>
  </si>
  <si>
    <t>Isaiah Livers</t>
  </si>
  <si>
    <t>Kalamazoo</t>
  </si>
  <si>
    <t xml:space="preserve">Trevor Keels </t>
  </si>
  <si>
    <t>Clinton</t>
  </si>
  <si>
    <t>Tre Jones</t>
  </si>
  <si>
    <t>Saint Paul</t>
  </si>
  <si>
    <t>Jerry Stackhouse</t>
  </si>
  <si>
    <t>Saban Lee</t>
  </si>
  <si>
    <t>Vanderbilt</t>
  </si>
  <si>
    <t>Tempe</t>
  </si>
  <si>
    <t>Jaden Hardy</t>
  </si>
  <si>
    <t>G League Ignite</t>
  </si>
  <si>
    <t>Henderson</t>
  </si>
  <si>
    <t>Tyler Smith</t>
  </si>
  <si>
    <t>Houston</t>
  </si>
  <si>
    <t>Caleb Houstan</t>
  </si>
  <si>
    <t>Vernon Carey</t>
  </si>
  <si>
    <t>Tavaras Hardy</t>
  </si>
  <si>
    <t>Santi Aldama</t>
  </si>
  <si>
    <t>Loyola (MD</t>
  </si>
  <si>
    <t>Patriot</t>
  </si>
  <si>
    <t>Las Palmas de Gran Canaria</t>
  </si>
  <si>
    <t>Spain</t>
  </si>
  <si>
    <t>Ryan Dunn</t>
  </si>
  <si>
    <t>Freeport</t>
  </si>
  <si>
    <t xml:space="preserve">Rodney Terry </t>
  </si>
  <si>
    <t>Dillon Mitchell</t>
  </si>
  <si>
    <t>Tampa</t>
  </si>
  <si>
    <t>Wendell Moore</t>
  </si>
  <si>
    <t>KyShawn George</t>
  </si>
  <si>
    <t>Monthey</t>
  </si>
  <si>
    <t>MarJon Beauchamp</t>
  </si>
  <si>
    <t>Jerod Haase</t>
  </si>
  <si>
    <t>Tyrell Terry</t>
  </si>
  <si>
    <t>Jalen Johnson</t>
  </si>
  <si>
    <t>Sun Prairie</t>
  </si>
  <si>
    <t>Kyle Neptune</t>
  </si>
  <si>
    <t>Cam Whitmore</t>
  </si>
  <si>
    <t>Villinova</t>
  </si>
  <si>
    <t>Big East</t>
  </si>
  <si>
    <t>Odenton</t>
  </si>
  <si>
    <t>Trey Murphy</t>
  </si>
  <si>
    <t>Durham</t>
  </si>
  <si>
    <t>Jalen Hood-Schifino</t>
  </si>
  <si>
    <t>AJ Griffin</t>
  </si>
  <si>
    <t>White Plains</t>
  </si>
  <si>
    <t>Kobe Bufkin</t>
  </si>
  <si>
    <t>Mark Williams</t>
  </si>
  <si>
    <t>Norfolk</t>
  </si>
  <si>
    <t>Kel'el Ware</t>
  </si>
  <si>
    <t>North Little Rock</t>
  </si>
  <si>
    <t>Aaron Nesmith</t>
  </si>
  <si>
    <t>Charleston</t>
  </si>
  <si>
    <t>Jett Howard</t>
  </si>
  <si>
    <t>Devin Vassell</t>
  </si>
  <si>
    <t>Suwanee</t>
  </si>
  <si>
    <t>Matas Buzelis</t>
  </si>
  <si>
    <t xml:space="preserve">Chicago </t>
  </si>
  <si>
    <t xml:space="preserve">Zaire Williams </t>
  </si>
  <si>
    <t>Lancaster</t>
  </si>
  <si>
    <t>Tre Johnson</t>
  </si>
  <si>
    <t>Franz Wagner</t>
  </si>
  <si>
    <t>Berlin</t>
  </si>
  <si>
    <t>Dyson Daniels</t>
  </si>
  <si>
    <t>Bendigo</t>
  </si>
  <si>
    <t>Ron Holland II</t>
  </si>
  <si>
    <t>Patrick Williams</t>
  </si>
  <si>
    <t>Scottie Barnes</t>
  </si>
  <si>
    <t>Mike Boynton</t>
  </si>
  <si>
    <t>Cade Cunningham</t>
  </si>
  <si>
    <t>Oklahoma State</t>
  </si>
  <si>
    <t>Paolo Banchero</t>
  </si>
  <si>
    <t>Vincent Williams</t>
  </si>
  <si>
    <t xml:space="preserve">Kelvin Sampson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</si>
</sst>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10"/>
      <color rgb="FF000000"/>
      <name val="Helvetica Neue"/>
      <family val="2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name val="Aptos Narrow"/>
      <family val="2"/>
    </font>
    <font>
      <b/>
      <sz val="10"/>
      <name val="Arial"/>
      <family val="2"/>
    </font>
    <font>
      <b/>
      <u/>
      <sz val="12"/>
      <name val="Aptos Narrow"/>
      <family val="2"/>
      <scheme val="minor"/>
    </font>
    <font>
      <b/>
      <sz val="12"/>
      <name val="Aptos Narrow"/>
      <scheme val="minor"/>
    </font>
    <font>
      <b/>
      <sz val="10"/>
      <color rgb="FF000000"/>
      <name val="Arial"/>
      <family val="2"/>
    </font>
    <font>
      <b/>
      <sz val="12"/>
      <color rgb="FF000000"/>
      <name val="Aptos Narrow"/>
      <scheme val="minor"/>
    </font>
    <font>
      <b/>
      <sz val="12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6" fontId="2" fillId="0" borderId="0" xfId="0" applyNumberFormat="1" applyFont="1"/>
    <xf numFmtId="0" fontId="2" fillId="0" borderId="0" xfId="0" applyFont="1" applyAlignment="1">
      <alignment horizontal="left"/>
    </xf>
    <xf numFmtId="44" fontId="2" fillId="0" borderId="0" xfId="1" applyFont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44" fontId="4" fillId="0" borderId="0" xfId="1" applyFont="1"/>
    <xf numFmtId="44" fontId="2" fillId="0" borderId="0" xfId="1" applyFont="1"/>
    <xf numFmtId="0" fontId="0" fillId="0" borderId="0" xfId="0" applyAlignment="1">
      <alignment horizontal="left" vertical="center"/>
    </xf>
    <xf numFmtId="44" fontId="0" fillId="0" borderId="0" xfId="1" applyFont="1"/>
    <xf numFmtId="6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44" fontId="2" fillId="0" borderId="0" xfId="1" applyFont="1" applyFill="1"/>
    <xf numFmtId="0" fontId="5" fillId="0" borderId="0" xfId="0" applyFont="1"/>
    <xf numFmtId="0" fontId="0" fillId="0" borderId="0" xfId="0" applyAlignment="1">
      <alignment horizontal="left" wrapText="1"/>
    </xf>
    <xf numFmtId="44" fontId="0" fillId="0" borderId="0" xfId="1" applyFont="1" applyFill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4" fontId="9" fillId="0" borderId="0" xfId="1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9" fillId="0" borderId="0" xfId="0" applyFont="1"/>
    <xf numFmtId="44" fontId="7" fillId="0" borderId="0" xfId="1" applyFont="1" applyAlignment="1">
      <alignment horizontal="left"/>
    </xf>
    <xf numFmtId="0" fontId="7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44" fontId="9" fillId="2" borderId="0" xfId="1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0" fillId="2" borderId="0" xfId="0" applyFill="1"/>
    <xf numFmtId="0" fontId="7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44" fontId="9" fillId="3" borderId="0" xfId="1" applyFont="1" applyFill="1" applyAlignment="1">
      <alignment horizontal="left"/>
    </xf>
    <xf numFmtId="0" fontId="8" fillId="3" borderId="0" xfId="0" applyFont="1" applyFill="1"/>
    <xf numFmtId="0" fontId="8" fillId="3" borderId="0" xfId="0" applyFont="1" applyFill="1" applyAlignment="1">
      <alignment horizontal="left"/>
    </xf>
    <xf numFmtId="0" fontId="0" fillId="3" borderId="0" xfId="0" applyFill="1"/>
    <xf numFmtId="44" fontId="0" fillId="0" borderId="0" xfId="0" applyNumberFormat="1"/>
    <xf numFmtId="0" fontId="0" fillId="4" borderId="0" xfId="0" applyFill="1"/>
    <xf numFmtId="0" fontId="0" fillId="4" borderId="0" xfId="0" applyFill="1" applyAlignment="1">
      <alignment horizontal="left"/>
    </xf>
    <xf numFmtId="44" fontId="2" fillId="4" borderId="0" xfId="1" applyFont="1" applyFill="1"/>
    <xf numFmtId="0" fontId="0" fillId="2" borderId="0" xfId="0" applyFill="1" applyAlignment="1">
      <alignment horizontal="left"/>
    </xf>
    <xf numFmtId="44" fontId="2" fillId="2" borderId="0" xfId="1" applyFont="1" applyFill="1"/>
    <xf numFmtId="0" fontId="2" fillId="2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9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 applyAlignment="1">
      <alignment horizontal="left"/>
    </xf>
    <xf numFmtId="44" fontId="9" fillId="3" borderId="0" xfId="0" applyNumberFormat="1" applyFont="1" applyFill="1"/>
    <xf numFmtId="44" fontId="14" fillId="3" borderId="0" xfId="0" applyNumberFormat="1" applyFont="1" applyFill="1"/>
    <xf numFmtId="0" fontId="0" fillId="3" borderId="0" xfId="0" applyFill="1" applyAlignment="1">
      <alignment horizontal="left"/>
    </xf>
    <xf numFmtId="44" fontId="2" fillId="3" borderId="0" xfId="1" applyFont="1" applyFill="1" applyAlignment="1">
      <alignment horizontal="left"/>
    </xf>
    <xf numFmtId="44" fontId="2" fillId="2" borderId="0" xfId="1" applyFont="1" applyFill="1" applyAlignment="1">
      <alignment horizontal="left"/>
    </xf>
    <xf numFmtId="44" fontId="2" fillId="3" borderId="0" xfId="1" applyFont="1" applyFill="1"/>
    <xf numFmtId="0" fontId="2" fillId="2" borderId="0" xfId="0" applyFont="1" applyFill="1" applyAlignment="1">
      <alignment horizontal="left"/>
    </xf>
    <xf numFmtId="44" fontId="7" fillId="2" borderId="0" xfId="1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44" fontId="0" fillId="3" borderId="0" xfId="0" applyNumberFormat="1" applyFill="1"/>
    <xf numFmtId="0" fontId="0" fillId="3" borderId="0" xfId="0" applyFill="1" applyAlignment="1">
      <alignment horizontal="left" vertical="center"/>
    </xf>
    <xf numFmtId="44" fontId="0" fillId="3" borderId="0" xfId="1" applyFont="1" applyFill="1"/>
    <xf numFmtId="0" fontId="0" fillId="2" borderId="0" xfId="0" applyFill="1" applyAlignment="1">
      <alignment horizontal="left" vertical="center"/>
    </xf>
    <xf numFmtId="44" fontId="0" fillId="2" borderId="0" xfId="1" applyFont="1" applyFill="1"/>
    <xf numFmtId="0" fontId="17" fillId="0" borderId="0" xfId="0" applyFont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17" fillId="0" borderId="0" xfId="0" applyFont="1"/>
    <xf numFmtId="44" fontId="2" fillId="0" borderId="0" xfId="1" applyFont="1" applyFill="1" applyAlignment="1">
      <alignment horizontal="left"/>
    </xf>
    <xf numFmtId="44" fontId="0" fillId="2" borderId="0" xfId="0" applyNumberFormat="1" applyFill="1"/>
  </cellXfs>
  <cellStyles count="2">
    <cellStyle name="Currency" xfId="1" builtinId="4"/>
    <cellStyle name="Normal" xfId="0" builtinId="0"/>
  </cellStyles>
  <dxfs count="8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37DF6-44F5-DB48-A524-3449AE5666BC}" name="Table1" displayName="Table1" ref="A1:T1048576" totalsRowShown="0" headerRowDxfId="86" dataDxfId="85">
  <autoFilter ref="A1:T1048576" xr:uid="{8F937DF6-44F5-DB48-A524-3449AE5666BC}"/>
  <sortState xmlns:xlrd2="http://schemas.microsoft.com/office/spreadsheetml/2017/richdata2" ref="A2:T63">
    <sortCondition ref="D1:D1048576"/>
  </sortState>
  <tableColumns count="20">
    <tableColumn id="1" xr3:uid="{EB52EB76-1D24-8047-AF26-9181E7E11A5A}" name="Coach" dataDxfId="84"/>
    <tableColumn id="2" xr3:uid="{A3D6CFF7-FC36-564A-A88C-0D3ED6D60134}" name="Coach Current Team" dataDxfId="83"/>
    <tableColumn id="3" xr3:uid="{D5409450-E595-C84C-8DC4-48B231B841A6}" name="Coach Current Conference" dataDxfId="82"/>
    <tableColumn id="4" xr3:uid="{08104397-3BE2-044D-AEB6-090038A77A2F}" name="Player" dataDxfId="81"/>
    <tableColumn id="5" xr3:uid="{F434F84E-9F8F-2246-8C6D-3AD7A4A65FD8}" name="Class" dataDxfId="80"/>
    <tableColumn id="6" xr3:uid="{98193D8A-178D-9A4C-A72A-B0520AD7EA51}" name="Age" dataDxfId="79"/>
    <tableColumn id="7" xr3:uid="{68ACDEAA-B1D0-5F4D-8581-4BBFE6581B22}" name="Team" dataDxfId="78"/>
    <tableColumn id="8" xr3:uid="{255A173F-EEF1-3541-960F-9C94201BB792}" name="Player Conference" dataDxfId="77"/>
    <tableColumn id="9" xr3:uid="{AC7BC483-3295-234C-93BD-DF1E5C1BBEC6}" name="Year" dataDxfId="76"/>
    <tableColumn id="10" xr3:uid="{2568B529-3839-484A-BB7F-E0FAA8CE06A2}" name="Projected Pick" dataDxfId="75"/>
    <tableColumn id="11" xr3:uid="{B4BF2955-02FE-D141-BB76-5ED2F0827AB6}" name="Actual Pick" dataDxfId="74"/>
    <tableColumn id="12" xr3:uid="{6162DEE9-6DE7-2D40-AD79-3B6E155BBF44}" name="Projected Money" dataDxfId="73" dataCellStyle="Currency"/>
    <tableColumn id="13" xr3:uid="{3FF9B0A1-010D-914E-977D-34FD9B97FEFD}" name="Actual Money" dataDxfId="72" dataCellStyle="Currency"/>
    <tableColumn id="14" xr3:uid="{3A5EC69F-707E-B948-917D-F1C99E09BA04}" name="NET" dataDxfId="71"/>
    <tableColumn id="15" xr3:uid="{4DE996E5-3821-124D-B765-1F10860E8D39}" name="Height" dataDxfId="70"/>
    <tableColumn id="16" xr3:uid="{3B82B61A-2E22-374E-8239-E63B7E75576A}" name="Weight" dataDxfId="69"/>
    <tableColumn id="17" xr3:uid="{DD7D33D9-A170-4C4F-B26F-253FD789BC29}" name="WingSpan" dataDxfId="68"/>
    <tableColumn id="18" xr3:uid="{52B2061C-78E7-4349-8A44-B442C5DA2138}" name="Home City" dataDxfId="67"/>
    <tableColumn id="19" xr3:uid="{2819789B-B909-B24D-A76E-3CA912B1CBE8}" name="Home State" dataDxfId="66"/>
    <tableColumn id="20" xr3:uid="{D6DB8137-A21B-0145-9251-775DCC0A52E7}" name="Country" data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D6DCB-7845-E847-AD20-8C0B290D2986}" name="Table2" displayName="Table2" ref="A1:T1048574" totalsRowShown="0" headerRowDxfId="64">
  <autoFilter ref="A1:T1048574" xr:uid="{3ECD6DCB-7845-E847-AD20-8C0B290D2986}"/>
  <sortState xmlns:xlrd2="http://schemas.microsoft.com/office/spreadsheetml/2017/richdata2" ref="A2:T48">
    <sortCondition ref="A1:A1048574"/>
  </sortState>
  <tableColumns count="20">
    <tableColumn id="1" xr3:uid="{F5241D3D-6D5A-184D-BC03-E21EC9B955E6}" name="Coach" dataDxfId="63"/>
    <tableColumn id="2" xr3:uid="{6EA35627-BFBE-9643-8829-11E3ABFC171D}" name="Coach Current Team" dataDxfId="62"/>
    <tableColumn id="3" xr3:uid="{87A82033-43BA-A848-A3ED-9BAE3FA144F3}" name="Coach Current Conference" dataDxfId="61"/>
    <tableColumn id="4" xr3:uid="{F3496863-CCD0-CC46-A343-792EB470392E}" name="Player" dataDxfId="60"/>
    <tableColumn id="5" xr3:uid="{1F7B3507-EB64-0348-8694-9016CBB357D8}" name="Class" dataDxfId="59"/>
    <tableColumn id="6" xr3:uid="{06CC4039-D917-144C-BEAD-EA847BCDB043}" name="Age" dataDxfId="58"/>
    <tableColumn id="7" xr3:uid="{46DBF6B5-7D83-E84D-AABD-FB64194FB742}" name="Team" dataDxfId="57"/>
    <tableColumn id="8" xr3:uid="{535300D8-6F25-2845-BEE6-5608D361C37A}" name="Player Conference" dataDxfId="56"/>
    <tableColumn id="9" xr3:uid="{D103CF46-DEA6-0F48-9EFE-BD0947D02B75}" name="Year" dataDxfId="55"/>
    <tableColumn id="10" xr3:uid="{81648F1E-2DAE-3C4B-A723-7D7BD543E4BB}" name="Projected Pick" dataDxfId="54"/>
    <tableColumn id="11" xr3:uid="{06866551-993C-744D-B309-98AC89BD0F48}" name="Actual Pick" dataDxfId="53"/>
    <tableColumn id="12" xr3:uid="{ABFBB0B1-658E-BE4C-A99E-D0D84393FFAB}" name="Projected Money" dataDxfId="52" dataCellStyle="Currency"/>
    <tableColumn id="13" xr3:uid="{DEC5E561-7E43-1241-9144-91C1E7433D4B}" name="Actual Money" dataDxfId="51" dataCellStyle="Currency"/>
    <tableColumn id="14" xr3:uid="{36FF7D56-A1E1-1344-88CA-3CCF824B73CE}" name="NET" dataDxfId="50"/>
    <tableColumn id="15" xr3:uid="{6B839C1E-E799-CF44-8455-A41D84D1327C}" name="Height"/>
    <tableColumn id="16" xr3:uid="{1FAA456C-4737-5A46-986A-D6331561EB07}" name="Weight" dataDxfId="49"/>
    <tableColumn id="17" xr3:uid="{B1CED467-FBAE-EB43-8E7A-824152812E77}" name="WingSpan"/>
    <tableColumn id="18" xr3:uid="{D5065863-1AFF-5F46-BC1E-387A5553C901}" name="Home City"/>
    <tableColumn id="19" xr3:uid="{98E641C5-AEA7-9E4F-B214-FF29A37616F8}" name="Home State"/>
    <tableColumn id="20" xr3:uid="{91BF43B9-ECDB-1744-9CDB-E54C829027C3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7AAB96-04B9-CC4B-BD08-0416A903D7E2}" name="Table3" displayName="Table3" ref="A1:T1048575" totalsRowShown="0" headerRowDxfId="48">
  <autoFilter ref="A1:T1048575" xr:uid="{5F7AAB96-04B9-CC4B-BD08-0416A903D7E2}"/>
  <sortState xmlns:xlrd2="http://schemas.microsoft.com/office/spreadsheetml/2017/richdata2" ref="A2:T40">
    <sortCondition descending="1" ref="K1:K1048575"/>
  </sortState>
  <tableColumns count="20">
    <tableColumn id="21" xr3:uid="{0B1EB368-405C-5646-9976-C15C43ABB5C6}" name="Coach"/>
    <tableColumn id="20" xr3:uid="{8C9CF71A-16AE-3240-9F5D-A399FBE38B53}" name="Coach Current Team"/>
    <tableColumn id="19" xr3:uid="{CDF64964-E6EB-F042-9D58-0F3777ED9654}" name="Coach Current Conference"/>
    <tableColumn id="18" xr3:uid="{892F1A5B-3BF4-E146-AC2A-8416A6F0F287}" name="Player"/>
    <tableColumn id="1" xr3:uid="{D5E68639-8BB6-9347-B9A8-000218BC2B53}" name="Class"/>
    <tableColumn id="2" xr3:uid="{93EDC947-61CC-8C41-8787-ABACE46B094A}" name="Age"/>
    <tableColumn id="3" xr3:uid="{7C98144D-6164-7043-803C-42A7C349F3E9}" name="Team"/>
    <tableColumn id="4" xr3:uid="{154AE4BB-F434-5C47-BD02-E8F043683D77}" name="Player Conference"/>
    <tableColumn id="5" xr3:uid="{C08DB73B-FE05-FC47-8230-BAA65334B936}" name="Year"/>
    <tableColumn id="6" xr3:uid="{5AF7E9AD-0A50-A54C-8A7A-CAF230A9792E}" name="Projected Pick"/>
    <tableColumn id="7" xr3:uid="{40409347-C63D-224E-871E-8874A94AA45F}" name="Actual Pick"/>
    <tableColumn id="8" xr3:uid="{1AB32FFF-F9C9-114D-8283-48BFF073A1E2}" name="Projected Money"/>
    <tableColumn id="9" xr3:uid="{7D7B3009-78E0-F94D-B51B-53E41FE5A702}" name="Actual Money"/>
    <tableColumn id="10" xr3:uid="{6E67A96F-FB69-CC43-BDB8-DAF802282699}" name="NET"/>
    <tableColumn id="11" xr3:uid="{A9DB330A-13D5-9846-BFA7-734C1400AC82}" name="Height"/>
    <tableColumn id="12" xr3:uid="{513763EB-07CB-6340-8522-9A7B97E6B790}" name="Weight" dataDxfId="47"/>
    <tableColumn id="13" xr3:uid="{B609D76C-793F-B64C-AB5D-E6A024C92A5B}" name="WingSpan"/>
    <tableColumn id="14" xr3:uid="{D1CD94E1-A76F-8147-BADE-FCD2F6C9C44B}" name="Home City"/>
    <tableColumn id="15" xr3:uid="{13477000-58A7-7644-808A-F61FAC1209F2}" name="Home State"/>
    <tableColumn id="16" xr3:uid="{3619350F-D180-B04A-B3D6-780D70DEE3B5}" name="Coun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FD8F30-85ED-904E-BAA8-FB36D822664A}" name="Table4" displayName="Table4" ref="A1:T1048574" totalsRowShown="0" headerRowDxfId="46">
  <autoFilter ref="A1:T1048574" xr:uid="{A1FD8F30-85ED-904E-BAA8-FB36D822664A}"/>
  <sortState xmlns:xlrd2="http://schemas.microsoft.com/office/spreadsheetml/2017/richdata2" ref="A2:T46">
    <sortCondition ref="K1:K1048574"/>
  </sortState>
  <tableColumns count="20">
    <tableColumn id="1" xr3:uid="{1F1FC30F-267C-DF46-9E27-3CD96B499A36}" name="Coach"/>
    <tableColumn id="2" xr3:uid="{12DCFBF0-8757-EF41-BA07-15349E675A12}" name="Coach Current Team"/>
    <tableColumn id="3" xr3:uid="{7FE14F15-B7D7-544C-A321-BC72DA2FCF1A}" name="Coach Current Conference"/>
    <tableColumn id="4" xr3:uid="{C9F801EB-0FC5-4B46-922E-E6D6193E3D70}" name="Player"/>
    <tableColumn id="5" xr3:uid="{398CBDEB-F1FE-7449-AE64-6B7F36674575}" name="Class"/>
    <tableColumn id="6" xr3:uid="{6A0899B5-83AC-6942-92C8-DBA1472D943F}" name="Age"/>
    <tableColumn id="7" xr3:uid="{08BA4D7B-C57E-1145-82EF-75B44361372F}" name="Team"/>
    <tableColumn id="8" xr3:uid="{1CBE9318-64A4-514D-8198-70878062BD79}" name="Player Conference"/>
    <tableColumn id="9" xr3:uid="{BF0F80A4-B2A6-0846-8E22-23467D9D6FE0}" name="Year"/>
    <tableColumn id="10" xr3:uid="{41105C77-2702-9C45-AA1D-166012D260CF}" name="Projected Pick"/>
    <tableColumn id="11" xr3:uid="{B8937109-B961-2943-9695-E90EB582C135}" name="Actual Pick"/>
    <tableColumn id="12" xr3:uid="{11F08ECB-68A3-6842-824C-920CCF0529AD}" name="Projected Money"/>
    <tableColumn id="13" xr3:uid="{F34ACA56-2EEB-4641-A2D9-6D4827C28C82}" name="Actual Money"/>
    <tableColumn id="14" xr3:uid="{C2B2F8BD-ED83-3449-A465-2334A3CD6C70}" name="NET"/>
    <tableColumn id="15" xr3:uid="{7DC0A56B-D857-4B43-804B-DC7FF0F80D75}" name="Height"/>
    <tableColumn id="16" xr3:uid="{F0D58D3E-4535-A941-8AB1-D4904B6DA7E4}" name="Weight" dataDxfId="45"/>
    <tableColumn id="17" xr3:uid="{CEBE6854-9B44-2441-9351-58FE88C2E4B3}" name="WingSpan"/>
    <tableColumn id="18" xr3:uid="{06E4BA15-EB25-134D-B2E8-28CE6B5D77F3}" name="Home City"/>
    <tableColumn id="19" xr3:uid="{4E184E4F-C851-FB4C-8385-41D5CABBBE54}" name="Home State"/>
    <tableColumn id="20" xr3:uid="{08B0E290-157A-FC4E-8B90-0533F084C3E3}" name="Count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4D963A-8961-1F41-A019-6FB453744DA3}" name="Table5" displayName="Table5" ref="A1:T1048576" totalsRowShown="0" headerRowDxfId="44">
  <autoFilter ref="A1:T1048576" xr:uid="{494D963A-8961-1F41-A019-6FB453744DA3}"/>
  <sortState xmlns:xlrd2="http://schemas.microsoft.com/office/spreadsheetml/2017/richdata2" ref="A2:T36">
    <sortCondition descending="1" ref="K1:K1048576"/>
  </sortState>
  <tableColumns count="20">
    <tableColumn id="1" xr3:uid="{31A33CDC-FE1A-6749-B7FB-0B647336085C}" name="Coach"/>
    <tableColumn id="2" xr3:uid="{B7E5DDB5-05ED-EB4F-8C72-439518E37AA0}" name="Coach Current Team"/>
    <tableColumn id="3" xr3:uid="{052984D7-2AAE-5545-A645-C2A6506D1455}" name="Coach Current Conference"/>
    <tableColumn id="4" xr3:uid="{143C8350-5588-3B49-96F9-5BE9E0BA1C4E}" name="Player"/>
    <tableColumn id="5" xr3:uid="{4B1DE22B-87E2-874F-89C8-DF3CB70DEA37}" name="Class"/>
    <tableColumn id="6" xr3:uid="{DB806E68-CE28-E24A-AEDE-A9837C142FBB}" name="Age"/>
    <tableColumn id="7" xr3:uid="{2804444E-008B-1246-B77F-31E1E58C51EE}" name="Team"/>
    <tableColumn id="8" xr3:uid="{0ABED563-6BCA-534D-B73A-5A7A0D0ED209}" name="Player Conference"/>
    <tableColumn id="9" xr3:uid="{AD6C7746-0312-B147-A254-BBB62EA092A3}" name="Year"/>
    <tableColumn id="10" xr3:uid="{6FA387E3-4122-E246-80CB-5D2F8FC435E5}" name="Projected Pick"/>
    <tableColumn id="11" xr3:uid="{47B5F2F9-0DEF-EE40-A2E0-54A143685970}" name="Actual Pick"/>
    <tableColumn id="12" xr3:uid="{71852A17-E073-0E44-BCE1-8276DDDDBF6E}" name="Projected Money"/>
    <tableColumn id="13" xr3:uid="{9A569449-00D0-634D-A8ED-6F8FC7E39EDA}" name="Actual Money"/>
    <tableColumn id="14" xr3:uid="{0F06893F-163F-3842-A3EC-E87521D44304}" name="NET"/>
    <tableColumn id="15" xr3:uid="{FA9674A4-2DD6-A94C-8F7B-B71CABDD1BF0}" name="Height"/>
    <tableColumn id="16" xr3:uid="{2913FA6E-BDD5-7949-BB63-EA07D4DC7F81}" name="Weight" dataDxfId="43"/>
    <tableColumn id="17" xr3:uid="{C3744255-D8CD-A548-A2DB-9041F24C2137}" name="WingSpan"/>
    <tableColumn id="18" xr3:uid="{8B234553-FF27-A944-B143-6842486FE779}" name="Home City"/>
    <tableColumn id="19" xr3:uid="{E39E3C91-02C0-D74F-A040-8D5935688564}" name="Home State"/>
    <tableColumn id="20" xr3:uid="{D2C3248D-8F97-F540-814C-A9D4CD59FB80}" name="Count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34F6EB-CEFB-E740-8C97-C3CFEBFDE62A}" name="Table6" displayName="Table6" ref="A1:T1048576" totalsRowShown="0" headerRowDxfId="42">
  <autoFilter ref="A1:T1048576" xr:uid="{8734F6EB-CEFB-E740-8C97-C3CFEBFDE62A}"/>
  <sortState xmlns:xlrd2="http://schemas.microsoft.com/office/spreadsheetml/2017/richdata2" ref="A2:T18">
    <sortCondition descending="1" ref="K1:K1048576"/>
  </sortState>
  <tableColumns count="20">
    <tableColumn id="1" xr3:uid="{FF1C6693-B046-AD4A-A975-02A6E9A19087}" name="Coach"/>
    <tableColumn id="2" xr3:uid="{64B05DBD-92F0-894B-98AA-2E045BAB6602}" name="Coach Current Team"/>
    <tableColumn id="3" xr3:uid="{834E4DBE-CDA5-1E47-9575-21C8F243D747}" name="Coach Current Conference"/>
    <tableColumn id="4" xr3:uid="{B93D6962-7A7D-9B4B-B0D1-9E4DE90B4403}" name="Player"/>
    <tableColumn id="5" xr3:uid="{34541795-4112-1D49-981A-9CD1F3F0D320}" name="Class"/>
    <tableColumn id="6" xr3:uid="{D5466783-507E-5046-B629-6299021F5E1C}" name="Age" dataDxfId="41"/>
    <tableColumn id="7" xr3:uid="{1BB23A2B-777B-C148-8787-469DDF05DB6E}" name="Team"/>
    <tableColumn id="8" xr3:uid="{FCDFFB3F-09E7-8E4C-AC96-226EEBA20F8D}" name="Player Conference"/>
    <tableColumn id="9" xr3:uid="{E9313AA5-F796-1C4A-846B-E73DBC0FFB5E}" name="Year"/>
    <tableColumn id="10" xr3:uid="{BD32CFDD-E1A1-3A4F-9E8D-F869DACA192F}" name="Projected Pick"/>
    <tableColumn id="11" xr3:uid="{29AA08C8-70E4-E445-AFEF-09D640B446D0}" name="Actual Pick"/>
    <tableColumn id="12" xr3:uid="{80658688-6A3B-B541-B411-58AB3C11296B}" name="Projected Money"/>
    <tableColumn id="13" xr3:uid="{E719E5F1-F9CD-0346-8C37-2C79C0D241EC}" name="Actual Money"/>
    <tableColumn id="14" xr3:uid="{4943E48A-E487-834D-9D2E-5DE7828FD4F0}" name="NET"/>
    <tableColumn id="15" xr3:uid="{003A0DA8-AEC8-544D-816B-B9989CEEF4F6}" name="Height"/>
    <tableColumn id="16" xr3:uid="{6CBCD0C0-E2EA-544F-97B8-5879AD793FE3}" name="Weight" dataDxfId="40"/>
    <tableColumn id="17" xr3:uid="{519B5DE2-1D91-EE42-8DE9-030B50EDA726}" name="WingSpan"/>
    <tableColumn id="18" xr3:uid="{39A79BA6-D8F1-564C-8B7E-AFFE5C3326E7}" name="Home City"/>
    <tableColumn id="19" xr3:uid="{7ADF6553-58B0-C94B-B982-02084B77E9B4}" name="Home State"/>
    <tableColumn id="20" xr3:uid="{7D09F358-3E06-2C4F-BD90-8C3FA6780625}" name="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6925E8-12A1-F14A-9D04-94EAA614D31D}" name="Table7" displayName="Table7" ref="A1:T1048576" totalsRowShown="0" headerRowDxfId="39">
  <autoFilter ref="A1:T1048576" xr:uid="{886925E8-12A1-F14A-9D04-94EAA614D31D}"/>
  <sortState xmlns:xlrd2="http://schemas.microsoft.com/office/spreadsheetml/2017/richdata2" ref="A2:T13">
    <sortCondition ref="K1:K1048576"/>
  </sortState>
  <tableColumns count="20">
    <tableColumn id="1" xr3:uid="{6893E84A-8CC7-174F-BFC6-0A34B3401330}" name="Coach"/>
    <tableColumn id="2" xr3:uid="{A7E54577-DE94-DE4A-8819-41BE96BBD924}" name="Coach Current Team"/>
    <tableColumn id="3" xr3:uid="{DB4DD119-714C-B141-AF1C-1D8DFF70F6E6}" name="Coach Current Conference"/>
    <tableColumn id="4" xr3:uid="{9AD9E5BD-A9F0-E546-B96A-B582A506F06D}" name="Player"/>
    <tableColumn id="5" xr3:uid="{E10362AC-4FEA-AF4F-9C08-1E04A9602814}" name="Class"/>
    <tableColumn id="6" xr3:uid="{173F4993-8085-5142-ADED-EBE61EC1D9EA}" name="Age"/>
    <tableColumn id="7" xr3:uid="{5B330B2E-DEFC-C343-B406-21FDC13C149C}" name="Team"/>
    <tableColumn id="8" xr3:uid="{62F99A1E-7110-CF4C-9D48-0D2D229D8125}" name="Player Conference"/>
    <tableColumn id="9" xr3:uid="{24614876-391C-564F-BBF5-2D8A405BE30F}" name="Year"/>
    <tableColumn id="10" xr3:uid="{1E6E30CB-369A-924F-8795-C4F9F06CAE22}" name="Projected Pick"/>
    <tableColumn id="11" xr3:uid="{7A05A3BC-D76C-0343-89B8-0029B3D02A1D}" name="Actual Pick"/>
    <tableColumn id="12" xr3:uid="{0FCCE2E8-2370-4248-813E-AD18696F5872}" name="Projected Money"/>
    <tableColumn id="13" xr3:uid="{28794E59-1D59-2944-99FB-1F54471E6698}" name="Actual Money"/>
    <tableColumn id="14" xr3:uid="{2B25AAD1-0361-544A-8D62-652CC2AD0598}" name="NET"/>
    <tableColumn id="15" xr3:uid="{9129FBF5-76BF-B244-AB0D-0372F3C73121}" name="Height"/>
    <tableColumn id="16" xr3:uid="{77611066-53B8-4948-AFB5-02C969A4D971}" name="Weight"/>
    <tableColumn id="17" xr3:uid="{708AE7FE-304A-944F-870B-93FC765E1B15}" name="WingSpan"/>
    <tableColumn id="18" xr3:uid="{74C643F5-8290-934C-8B3B-6F7E6E391AAC}" name="Home City"/>
    <tableColumn id="19" xr3:uid="{C3E288D5-E2D5-8044-927A-2E8157720934}" name="Home State"/>
    <tableColumn id="20" xr3:uid="{C2D6A439-B22E-874F-8881-F4AAE430F0C1}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38AF50-37D9-6C4D-A18E-BC593849C0F4}" name="Table8" displayName="Table8" ref="A1:T1048576" totalsRowShown="0" headerRowDxfId="38">
  <autoFilter ref="A1:T1048576" xr:uid="{BF38AF50-37D9-6C4D-A18E-BC593849C0F4}"/>
  <sortState xmlns:xlrd2="http://schemas.microsoft.com/office/spreadsheetml/2017/richdata2" ref="A2:T22">
    <sortCondition ref="K1:K1048576"/>
  </sortState>
  <tableColumns count="20">
    <tableColumn id="1" xr3:uid="{AF8D84E9-6720-F74E-A0D5-033DBE9752D3}" name="Coach" dataDxfId="37"/>
    <tableColumn id="2" xr3:uid="{F249BC3D-FC8B-9140-9798-E781F44200A3}" name="Coach Current Team" dataDxfId="36"/>
    <tableColumn id="3" xr3:uid="{6CAFB49F-84A8-AF4F-B8F8-DF279B76D290}" name="Coach Current Conference" dataDxfId="35"/>
    <tableColumn id="4" xr3:uid="{2E05A586-96B3-DB48-9988-EF2C305F6D68}" name="Player" dataDxfId="34"/>
    <tableColumn id="5" xr3:uid="{0E9CE98E-B8BF-DD4A-89E5-D2B563716AEC}" name="Class" dataDxfId="33"/>
    <tableColumn id="6" xr3:uid="{72E77ABE-5423-134F-9764-07F78BB473C2}" name="Age" dataDxfId="32"/>
    <tableColumn id="7" xr3:uid="{C0A0A9C5-C28D-DD48-A4F6-E641F8181545}" name="Team" dataDxfId="31"/>
    <tableColumn id="8" xr3:uid="{3C9CCA35-9B6C-D341-8F75-6D8AF0325E8A}" name="Player Conference" dataDxfId="30"/>
    <tableColumn id="9" xr3:uid="{79D8AFB6-D9A2-1A47-9995-8E6695E80B12}" name="Year" dataDxfId="29"/>
    <tableColumn id="10" xr3:uid="{FDCDADDB-0212-ED47-AEFF-E62B3E887200}" name="Projected Pick" dataDxfId="28"/>
    <tableColumn id="11" xr3:uid="{3A775C4E-2EE8-5B43-9640-7F8E21EF961F}" name="Actual Pick" dataDxfId="27"/>
    <tableColumn id="12" xr3:uid="{93C17FA0-58B4-C04A-95CE-75A01EC4BBD9}" name="Projected Money" dataDxfId="26"/>
    <tableColumn id="13" xr3:uid="{53B02CD2-D6F0-8443-9E35-E1FF5463FE06}" name="Actual Money" dataDxfId="25"/>
    <tableColumn id="14" xr3:uid="{38D5CA15-7040-354E-847D-868317E13BB9}" name="NET" dataDxfId="24"/>
    <tableColumn id="15" xr3:uid="{EAAA7176-D80B-884F-8389-3C90C3B15754}" name="Height" dataDxfId="23"/>
    <tableColumn id="16" xr3:uid="{1112FE67-EFD1-FC47-B312-0E8E24E31726}" name="Weight" dataDxfId="22"/>
    <tableColumn id="17" xr3:uid="{9C013408-4C01-164B-A1EF-16DE63E54903}" name="WingSpan" dataDxfId="21"/>
    <tableColumn id="18" xr3:uid="{4C6FBA43-008B-ED40-AFEF-84DFC0C54A76}" name="Home City" dataDxfId="20"/>
    <tableColumn id="19" xr3:uid="{368221EF-64FE-D742-A36C-3EE0D32D1C43}" name="Home State" dataDxfId="19"/>
    <tableColumn id="20" xr3:uid="{D4F5D74C-B99C-F04B-B10A-B8BA5CD036C4}" name="Count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543755-7751-1347-BB1E-EC244E6BF99A}" name="Table9" displayName="Table9" ref="A1:T1048576" totalsRowShown="0" headerRowDxfId="18">
  <autoFilter ref="A1:T1048576" xr:uid="{CA543755-7751-1347-BB1E-EC244E6BF99A}"/>
  <sortState xmlns:xlrd2="http://schemas.microsoft.com/office/spreadsheetml/2017/richdata2" ref="A2:T17">
    <sortCondition ref="K1:K1048576"/>
  </sortState>
  <tableColumns count="20">
    <tableColumn id="1" xr3:uid="{467EEBF0-12FE-4642-96D2-F24EFAE27ED5}" name="Coach" dataDxfId="17"/>
    <tableColumn id="2" xr3:uid="{FC39DB5E-E7BB-0945-9616-8DAD278E71E4}" name="Coach Current Team" dataDxfId="16"/>
    <tableColumn id="3" xr3:uid="{DE3BAF39-E1FE-CD4C-B2C4-656F5935108E}" name="Coach Current Conference" dataDxfId="15"/>
    <tableColumn id="4" xr3:uid="{1D6915C5-1DAB-4841-9C66-70BA5BD0911C}" name="Player" dataDxfId="14"/>
    <tableColumn id="5" xr3:uid="{D45EFBF8-22A0-E948-89FF-A15F7453B534}" name="Class" dataDxfId="13"/>
    <tableColumn id="6" xr3:uid="{AC19E905-E03A-7843-A176-7FE5522A1F03}" name="Age" dataDxfId="12"/>
    <tableColumn id="7" xr3:uid="{6CA1FADD-01EF-DC43-B04F-980372116AF0}" name="Team" dataDxfId="11"/>
    <tableColumn id="8" xr3:uid="{A4E04022-C49D-2F40-9849-A8613ECD6A26}" name="Player Conference" dataDxfId="10"/>
    <tableColumn id="9" xr3:uid="{26400DC3-117C-854D-A40D-8C103C34E347}" name="Year" dataDxfId="9"/>
    <tableColumn id="10" xr3:uid="{4DA0751F-A2F4-8D4F-BADE-69638EC7F6A2}" name="Projected Pick" dataDxfId="8"/>
    <tableColumn id="11" xr3:uid="{5E0E849E-5BD3-FB4D-A7E3-7132FD727F81}" name="Actual Pick" dataDxfId="7"/>
    <tableColumn id="12" xr3:uid="{AD6784A5-10C1-2349-B307-7A10C9DBEA34}" name="Projected Money" dataDxfId="6"/>
    <tableColumn id="13" xr3:uid="{CCF6AAE1-EB20-0E42-BADD-6FF30E6808A4}" name="Actual Money" dataDxfId="5"/>
    <tableColumn id="14" xr3:uid="{C35EBF10-6805-5940-898D-F20146C96133}" name="NET" dataDxfId="4"/>
    <tableColumn id="15" xr3:uid="{B126B92B-54D2-D743-B36F-8A06DD967968}" name="Height" dataDxfId="3"/>
    <tableColumn id="16" xr3:uid="{BCB88E2D-BA0B-9240-A6CD-464B00D9A15C}" name="Weight" dataDxfId="2"/>
    <tableColumn id="17" xr3:uid="{67B1FF20-11CE-5F4C-BE9E-2990AE3EDC85}" name="WingSpan"/>
    <tableColumn id="18" xr3:uid="{4C71A50F-936B-9942-87B5-B2AB7E9D62B9}" name="Home City"/>
    <tableColumn id="19" xr3:uid="{E722320F-5C77-E841-B06C-3052AF12FA5B}" name="Home State"/>
    <tableColumn id="20" xr3:uid="{E1BC108A-13FB-7940-AD81-81EDAA94264D}" name="Countr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BD188A-4EA0-EA41-9675-1041572434EB}" name="Table10" displayName="Table10" ref="A1:T1048576" totalsRowShown="0" headerRowDxfId="1">
  <autoFilter ref="A1:T1048576" xr:uid="{7DBD188A-4EA0-EA41-9675-1041572434EB}"/>
  <sortState xmlns:xlrd2="http://schemas.microsoft.com/office/spreadsheetml/2017/richdata2" ref="A2:T53">
    <sortCondition descending="1" ref="K1:K1048576"/>
  </sortState>
  <tableColumns count="20">
    <tableColumn id="1" xr3:uid="{C5D86AF4-98FB-E04E-BC94-A26F8BC38F41}" name="Coach"/>
    <tableColumn id="2" xr3:uid="{6A99B070-B7AE-F644-A325-6B3E8AFA845A}" name="Coach Current Team"/>
    <tableColumn id="3" xr3:uid="{31C2A23B-E6BF-5146-B17D-D1902B7DEAD5}" name="Coach Current Conference"/>
    <tableColumn id="4" xr3:uid="{8EA41BA1-78AF-054E-A16D-628181978B25}" name="Player"/>
    <tableColumn id="5" xr3:uid="{1616C70C-BB41-0443-AF59-569CD5F05DBF}" name="Class"/>
    <tableColumn id="6" xr3:uid="{20766BF9-CF06-B245-A432-C44B290683D7}" name="Age"/>
    <tableColumn id="7" xr3:uid="{A4FE5783-4590-7F4E-803E-5834D4CD1E83}" name="Team"/>
    <tableColumn id="8" xr3:uid="{138DBEDA-8467-8F4F-9F19-A9BD3524A7CC}" name="Player Conference"/>
    <tableColumn id="9" xr3:uid="{64A94F59-73D4-8D4C-B62E-98795CBB8440}" name="Year"/>
    <tableColumn id="10" xr3:uid="{27162432-7D93-8D4E-8EBF-3853986DFA5F}" name="Projected Pick"/>
    <tableColumn id="11" xr3:uid="{0FEC5FDF-1258-3849-A934-F6C390BCB565}" name="Actual Pick"/>
    <tableColumn id="12" xr3:uid="{A70DE2FA-42C8-2A43-B4D9-A0C24CB2976E}" name="Projected Money"/>
    <tableColumn id="13" xr3:uid="{F66595D8-4DA9-EF4E-B22D-7AC2E8D5C513}" name="Actual Money"/>
    <tableColumn id="14" xr3:uid="{E0FE5582-8B4B-D245-AFB3-030A844097C2}" name="NET"/>
    <tableColumn id="15" xr3:uid="{FDCBA86F-62BC-AA43-BBCF-B536ACFDA142}" name="Height"/>
    <tableColumn id="16" xr3:uid="{CFB650D6-315B-D64A-9B2F-C05DAC398344}" name="Weight" dataDxfId="0"/>
    <tableColumn id="17" xr3:uid="{517DE958-F98A-3046-9D81-329F319780B0}" name="WingSpan"/>
    <tableColumn id="18" xr3:uid="{4D39B684-F0BF-F645-AA47-3EC8C292A14D}" name="Home City"/>
    <tableColumn id="19" xr3:uid="{7A7FF7C9-9897-2E40-956C-990766EA46DE}" name="Home State"/>
    <tableColumn id="20" xr3:uid="{7DB28293-8F55-FD45-A7DC-5783026F766B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www.basketball-reference.com/friv/birthplaces.fcgi?country=US&amp;state=C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07F7-7884-5349-A90F-C71B6F31F0EF}">
  <dimension ref="A1:MY58"/>
  <sheetViews>
    <sheetView zoomScale="75" workbookViewId="0">
      <selection activeCell="H21" sqref="H21"/>
    </sheetView>
  </sheetViews>
  <sheetFormatPr baseColWidth="10" defaultColWidth="11" defaultRowHeight="16" x14ac:dyDescent="0.2"/>
  <cols>
    <col min="1" max="1" width="16.5" style="18" customWidth="1"/>
    <col min="2" max="2" width="20.6640625" style="18" customWidth="1"/>
    <col min="3" max="3" width="26" style="18" customWidth="1"/>
    <col min="4" max="4" width="17.1640625" style="18" customWidth="1"/>
    <col min="5" max="7" width="16.5" style="18" customWidth="1"/>
    <col min="8" max="8" width="19" style="18" customWidth="1"/>
    <col min="9" max="11" width="16.5" style="18" customWidth="1"/>
    <col min="12" max="12" width="18.83203125" style="28" customWidth="1"/>
    <col min="13" max="13" width="16.5" style="28" customWidth="1"/>
    <col min="14" max="14" width="15.1640625" style="18" bestFit="1" customWidth="1"/>
    <col min="15" max="15" width="11" style="23"/>
    <col min="16" max="16" width="11" style="24"/>
    <col min="17" max="17" width="11.83203125" style="23" customWidth="1"/>
    <col min="18" max="18" width="16.6640625" style="23" bestFit="1" customWidth="1"/>
    <col min="19" max="19" width="13.5" style="23" customWidth="1"/>
    <col min="20" max="20" width="11" style="23"/>
    <col min="21" max="21" width="10.83203125" customWidth="1"/>
  </cols>
  <sheetData>
    <row r="1" spans="1:363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363" x14ac:dyDescent="0.2">
      <c r="A2" s="36" t="s">
        <v>20</v>
      </c>
      <c r="B2" s="36" t="s">
        <v>21</v>
      </c>
      <c r="C2" s="36" t="s">
        <v>22</v>
      </c>
      <c r="D2" s="51" t="s">
        <v>125</v>
      </c>
      <c r="E2" s="37" t="s">
        <v>107</v>
      </c>
      <c r="F2" s="37">
        <v>21</v>
      </c>
      <c r="G2" s="36" t="s">
        <v>25</v>
      </c>
      <c r="H2" s="36" t="s">
        <v>22</v>
      </c>
      <c r="I2" s="37">
        <v>2025</v>
      </c>
      <c r="J2" s="37">
        <v>29</v>
      </c>
      <c r="K2" s="37">
        <v>36</v>
      </c>
      <c r="L2" s="38">
        <v>14194138</v>
      </c>
      <c r="M2" s="38">
        <v>3423787</v>
      </c>
      <c r="N2" s="38">
        <f t="shared" ref="N2:N39" si="0">M2-L2</f>
        <v>-10770351</v>
      </c>
      <c r="O2" s="39" t="s">
        <v>49</v>
      </c>
      <c r="P2" s="40">
        <v>200</v>
      </c>
      <c r="Q2" s="39" t="s">
        <v>36</v>
      </c>
      <c r="R2" s="39" t="s">
        <v>126</v>
      </c>
      <c r="S2" s="39" t="s">
        <v>30</v>
      </c>
      <c r="T2" s="39" t="s">
        <v>31</v>
      </c>
    </row>
    <row r="3" spans="1:363" x14ac:dyDescent="0.2">
      <c r="A3" s="18" t="s">
        <v>32</v>
      </c>
      <c r="B3" s="18" t="s">
        <v>33</v>
      </c>
      <c r="C3" s="18" t="s">
        <v>22</v>
      </c>
      <c r="D3" s="18" t="s">
        <v>34</v>
      </c>
      <c r="E3" s="18" t="s">
        <v>35</v>
      </c>
      <c r="F3" s="18">
        <v>20</v>
      </c>
      <c r="G3" s="18" t="s">
        <v>33</v>
      </c>
      <c r="H3" s="18" t="s">
        <v>22</v>
      </c>
      <c r="I3" s="19">
        <v>2023</v>
      </c>
      <c r="J3" s="19">
        <v>44</v>
      </c>
      <c r="K3" s="19" t="s">
        <v>26</v>
      </c>
      <c r="L3" s="20">
        <v>560000</v>
      </c>
      <c r="M3" s="20">
        <v>0</v>
      </c>
      <c r="N3" s="20">
        <f t="shared" si="0"/>
        <v>-560000</v>
      </c>
      <c r="O3" s="23" t="s">
        <v>27</v>
      </c>
      <c r="P3" s="24">
        <v>185</v>
      </c>
      <c r="Q3" s="23" t="s">
        <v>36</v>
      </c>
      <c r="R3" s="23" t="s">
        <v>37</v>
      </c>
      <c r="S3" s="23" t="s">
        <v>33</v>
      </c>
      <c r="T3" s="23" t="s">
        <v>31</v>
      </c>
    </row>
    <row r="4" spans="1:363" x14ac:dyDescent="0.2">
      <c r="A4" s="29" t="s">
        <v>32</v>
      </c>
      <c r="B4" s="29" t="s">
        <v>33</v>
      </c>
      <c r="C4" s="29" t="s">
        <v>22</v>
      </c>
      <c r="D4" s="29" t="s">
        <v>114</v>
      </c>
      <c r="E4" s="29" t="s">
        <v>39</v>
      </c>
      <c r="F4" s="29">
        <v>23</v>
      </c>
      <c r="G4" s="29" t="s">
        <v>33</v>
      </c>
      <c r="H4" s="29" t="s">
        <v>22</v>
      </c>
      <c r="I4" s="31">
        <v>2025</v>
      </c>
      <c r="J4" s="31" t="s">
        <v>26</v>
      </c>
      <c r="K4" s="31">
        <v>39</v>
      </c>
      <c r="L4" s="32">
        <v>0</v>
      </c>
      <c r="M4" s="32">
        <v>560000</v>
      </c>
      <c r="N4" s="32">
        <f t="shared" si="0"/>
        <v>560000</v>
      </c>
      <c r="O4" s="33" t="s">
        <v>86</v>
      </c>
      <c r="P4" s="34">
        <v>185</v>
      </c>
      <c r="Q4" s="33" t="s">
        <v>74</v>
      </c>
      <c r="R4" s="33" t="s">
        <v>115</v>
      </c>
      <c r="S4" s="33" t="s">
        <v>116</v>
      </c>
      <c r="T4" s="33" t="s">
        <v>31</v>
      </c>
    </row>
    <row r="5" spans="1:363" x14ac:dyDescent="0.2">
      <c r="A5" s="29" t="s">
        <v>90</v>
      </c>
      <c r="B5" s="29" t="s">
        <v>91</v>
      </c>
      <c r="C5" s="29" t="s">
        <v>22</v>
      </c>
      <c r="D5" s="29" t="s">
        <v>92</v>
      </c>
      <c r="E5" s="29" t="s">
        <v>39</v>
      </c>
      <c r="F5" s="29">
        <v>22</v>
      </c>
      <c r="G5" s="29" t="s">
        <v>25</v>
      </c>
      <c r="H5" s="29" t="s">
        <v>22</v>
      </c>
      <c r="I5" s="29">
        <v>2025</v>
      </c>
      <c r="J5" s="29" t="s">
        <v>26</v>
      </c>
      <c r="K5" s="29">
        <v>46</v>
      </c>
      <c r="L5" s="62">
        <v>0</v>
      </c>
      <c r="M5" s="32">
        <v>560000</v>
      </c>
      <c r="N5" s="32">
        <f t="shared" si="0"/>
        <v>560000</v>
      </c>
      <c r="O5" s="33" t="s">
        <v>28</v>
      </c>
      <c r="P5" s="34">
        <v>227</v>
      </c>
      <c r="Q5" s="33" t="s">
        <v>93</v>
      </c>
      <c r="R5" s="33" t="s">
        <v>94</v>
      </c>
      <c r="S5" s="33"/>
      <c r="T5" s="33" t="s">
        <v>95</v>
      </c>
    </row>
    <row r="6" spans="1:363" x14ac:dyDescent="0.2">
      <c r="A6" s="18" t="s">
        <v>20</v>
      </c>
      <c r="B6" s="18" t="s">
        <v>21</v>
      </c>
      <c r="C6" s="18" t="s">
        <v>22</v>
      </c>
      <c r="D6" s="27" t="s">
        <v>89</v>
      </c>
      <c r="E6" s="19" t="s">
        <v>39</v>
      </c>
      <c r="F6" s="19">
        <v>23</v>
      </c>
      <c r="G6" s="18" t="s">
        <v>25</v>
      </c>
      <c r="H6" s="18" t="s">
        <v>22</v>
      </c>
      <c r="I6" s="19">
        <v>2024</v>
      </c>
      <c r="J6" s="19" t="s">
        <v>26</v>
      </c>
      <c r="K6" s="19">
        <v>47</v>
      </c>
      <c r="L6" s="20">
        <v>0</v>
      </c>
      <c r="M6" s="20">
        <v>1157153</v>
      </c>
      <c r="N6" s="20">
        <f t="shared" si="0"/>
        <v>1157153</v>
      </c>
      <c r="O6" s="23" t="s">
        <v>55</v>
      </c>
      <c r="P6" s="24">
        <v>185</v>
      </c>
      <c r="Q6" s="23" t="s">
        <v>27</v>
      </c>
      <c r="R6" s="23" t="s">
        <v>50</v>
      </c>
      <c r="S6" s="23" t="s">
        <v>51</v>
      </c>
      <c r="T6" s="23" t="s">
        <v>31</v>
      </c>
    </row>
    <row r="7" spans="1:363" s="35" customFormat="1" x14ac:dyDescent="0.2">
      <c r="A7" s="18" t="s">
        <v>65</v>
      </c>
      <c r="B7" s="18" t="s">
        <v>47</v>
      </c>
      <c r="C7" s="18" t="s">
        <v>22</v>
      </c>
      <c r="D7" s="18" t="s">
        <v>152</v>
      </c>
      <c r="E7" s="18" t="s">
        <v>24</v>
      </c>
      <c r="F7" s="18">
        <v>19</v>
      </c>
      <c r="G7" s="18" t="s">
        <v>47</v>
      </c>
      <c r="H7" s="18" t="s">
        <v>22</v>
      </c>
      <c r="I7" s="19">
        <v>2025</v>
      </c>
      <c r="J7" s="19">
        <v>20</v>
      </c>
      <c r="K7" s="19">
        <v>23</v>
      </c>
      <c r="L7" s="20">
        <v>17730607</v>
      </c>
      <c r="M7" s="20">
        <v>16240654</v>
      </c>
      <c r="N7" s="20">
        <f t="shared" si="0"/>
        <v>-1489953</v>
      </c>
      <c r="O7" s="23" t="s">
        <v>59</v>
      </c>
      <c r="P7" s="24">
        <v>220</v>
      </c>
      <c r="Q7" s="23" t="s">
        <v>59</v>
      </c>
      <c r="R7" s="23" t="s">
        <v>153</v>
      </c>
      <c r="S7" s="23" t="s">
        <v>33</v>
      </c>
      <c r="T7" s="23" t="s">
        <v>31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</row>
    <row r="8" spans="1:363" s="35" customFormat="1" x14ac:dyDescent="0.2">
      <c r="A8" s="18" t="s">
        <v>20</v>
      </c>
      <c r="B8" s="18" t="s">
        <v>21</v>
      </c>
      <c r="C8" s="18" t="s">
        <v>22</v>
      </c>
      <c r="D8" s="19" t="s">
        <v>44</v>
      </c>
      <c r="E8" s="19" t="s">
        <v>35</v>
      </c>
      <c r="F8" s="19">
        <v>20</v>
      </c>
      <c r="G8" s="18" t="s">
        <v>25</v>
      </c>
      <c r="H8" s="18" t="s">
        <v>22</v>
      </c>
      <c r="I8" s="19">
        <v>2020</v>
      </c>
      <c r="J8" s="19">
        <v>30</v>
      </c>
      <c r="K8" s="19" t="s">
        <v>26</v>
      </c>
      <c r="L8" s="20">
        <v>9944923</v>
      </c>
      <c r="M8" s="20">
        <v>0</v>
      </c>
      <c r="N8" s="20">
        <f t="shared" si="0"/>
        <v>-9944923</v>
      </c>
      <c r="O8" s="21" t="s">
        <v>45</v>
      </c>
      <c r="P8" s="22">
        <v>198</v>
      </c>
      <c r="Q8" s="21" t="s">
        <v>27</v>
      </c>
      <c r="R8" s="21" t="s">
        <v>46</v>
      </c>
      <c r="S8" s="21" t="s">
        <v>47</v>
      </c>
      <c r="T8" s="21" t="s">
        <v>31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</row>
    <row r="9" spans="1:363" s="35" customFormat="1" x14ac:dyDescent="0.2">
      <c r="A9" s="18" t="s">
        <v>20</v>
      </c>
      <c r="B9" s="18" t="s">
        <v>21</v>
      </c>
      <c r="C9" s="18" t="s">
        <v>22</v>
      </c>
      <c r="D9" s="19" t="s">
        <v>73</v>
      </c>
      <c r="E9" s="19" t="s">
        <v>24</v>
      </c>
      <c r="F9" s="19">
        <v>20</v>
      </c>
      <c r="G9" s="18" t="s">
        <v>25</v>
      </c>
      <c r="H9" s="18" t="s">
        <v>22</v>
      </c>
      <c r="I9" s="19">
        <v>2021</v>
      </c>
      <c r="J9" s="19">
        <v>3</v>
      </c>
      <c r="K9" s="19">
        <v>51</v>
      </c>
      <c r="L9" s="20">
        <v>36664177</v>
      </c>
      <c r="M9" s="20">
        <v>925258</v>
      </c>
      <c r="N9" s="20">
        <f t="shared" si="0"/>
        <v>-35738919</v>
      </c>
      <c r="O9" s="21" t="s">
        <v>74</v>
      </c>
      <c r="P9" s="22">
        <v>185</v>
      </c>
      <c r="Q9" s="21" t="s">
        <v>28</v>
      </c>
      <c r="R9" s="21" t="s">
        <v>75</v>
      </c>
      <c r="S9" s="21" t="s">
        <v>47</v>
      </c>
      <c r="T9" s="21" t="s">
        <v>31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</row>
    <row r="10" spans="1:363" s="41" customFormat="1" x14ac:dyDescent="0.2">
      <c r="A10" s="18" t="s">
        <v>69</v>
      </c>
      <c r="B10" s="18" t="s">
        <v>70</v>
      </c>
      <c r="C10" s="18" t="s">
        <v>22</v>
      </c>
      <c r="D10" s="19" t="s">
        <v>200</v>
      </c>
      <c r="E10" s="19" t="s">
        <v>24</v>
      </c>
      <c r="F10" s="19">
        <v>19</v>
      </c>
      <c r="G10" s="18" t="s">
        <v>70</v>
      </c>
      <c r="H10" s="18" t="s">
        <v>22</v>
      </c>
      <c r="I10" s="19">
        <v>2023</v>
      </c>
      <c r="J10" s="19">
        <v>23</v>
      </c>
      <c r="K10" s="19">
        <v>2</v>
      </c>
      <c r="L10" s="20">
        <v>14284524</v>
      </c>
      <c r="M10" s="20">
        <v>49378426</v>
      </c>
      <c r="N10" s="20">
        <f t="shared" si="0"/>
        <v>35093902</v>
      </c>
      <c r="O10" s="21" t="s">
        <v>40</v>
      </c>
      <c r="P10" s="22">
        <v>200</v>
      </c>
      <c r="Q10" s="21" t="s">
        <v>59</v>
      </c>
      <c r="R10" s="21" t="s">
        <v>201</v>
      </c>
      <c r="S10" s="21" t="s">
        <v>53</v>
      </c>
      <c r="T10" s="21" t="s">
        <v>31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</row>
    <row r="11" spans="1:363" s="41" customFormat="1" x14ac:dyDescent="0.2">
      <c r="A11" s="18" t="s">
        <v>20</v>
      </c>
      <c r="B11" s="18" t="s">
        <v>21</v>
      </c>
      <c r="C11" s="18" t="s">
        <v>22</v>
      </c>
      <c r="D11" s="19" t="s">
        <v>186</v>
      </c>
      <c r="E11" s="19" t="s">
        <v>24</v>
      </c>
      <c r="F11" s="19">
        <v>20</v>
      </c>
      <c r="G11" s="18" t="s">
        <v>25</v>
      </c>
      <c r="H11" s="18" t="s">
        <v>22</v>
      </c>
      <c r="I11" s="19">
        <v>2023</v>
      </c>
      <c r="J11" s="19">
        <v>14</v>
      </c>
      <c r="K11" s="19">
        <v>10</v>
      </c>
      <c r="L11" s="20">
        <v>20599055</v>
      </c>
      <c r="M11" s="20">
        <v>24088326</v>
      </c>
      <c r="N11" s="20">
        <f t="shared" si="0"/>
        <v>3489271</v>
      </c>
      <c r="O11" s="23" t="s">
        <v>55</v>
      </c>
      <c r="P11" s="24">
        <v>193</v>
      </c>
      <c r="Q11" s="23" t="s">
        <v>27</v>
      </c>
      <c r="R11" s="23" t="s">
        <v>187</v>
      </c>
      <c r="S11" s="23" t="s">
        <v>82</v>
      </c>
      <c r="T11" s="23" t="s">
        <v>31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</row>
    <row r="12" spans="1:363" s="35" customFormat="1" x14ac:dyDescent="0.2">
      <c r="A12" s="36" t="s">
        <v>52</v>
      </c>
      <c r="B12" s="36" t="s">
        <v>53</v>
      </c>
      <c r="C12" s="36" t="s">
        <v>22</v>
      </c>
      <c r="D12" s="51" t="s">
        <v>120</v>
      </c>
      <c r="E12" s="37" t="s">
        <v>39</v>
      </c>
      <c r="F12" s="37">
        <v>23</v>
      </c>
      <c r="G12" s="36" t="s">
        <v>53</v>
      </c>
      <c r="H12" s="36" t="s">
        <v>22</v>
      </c>
      <c r="I12" s="37">
        <v>2025</v>
      </c>
      <c r="J12" s="37" t="s">
        <v>26</v>
      </c>
      <c r="K12" s="37">
        <v>37</v>
      </c>
      <c r="L12" s="38">
        <v>0</v>
      </c>
      <c r="M12" s="38">
        <v>3423787</v>
      </c>
      <c r="N12" s="38">
        <f t="shared" si="0"/>
        <v>3423787</v>
      </c>
      <c r="O12" s="39" t="s">
        <v>55</v>
      </c>
      <c r="P12" s="40">
        <v>175</v>
      </c>
      <c r="Q12" s="39" t="s">
        <v>40</v>
      </c>
      <c r="R12" s="39" t="s">
        <v>121</v>
      </c>
      <c r="S12" s="39" t="s">
        <v>53</v>
      </c>
      <c r="T12" s="39" t="s">
        <v>31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</row>
    <row r="13" spans="1:363" s="41" customFormat="1" x14ac:dyDescent="0.2">
      <c r="A13" s="18" t="s">
        <v>20</v>
      </c>
      <c r="B13" s="18" t="s">
        <v>21</v>
      </c>
      <c r="C13" s="18" t="s">
        <v>22</v>
      </c>
      <c r="D13" s="19" t="s">
        <v>58</v>
      </c>
      <c r="E13" s="19" t="s">
        <v>24</v>
      </c>
      <c r="F13" s="19">
        <v>19</v>
      </c>
      <c r="G13" s="18" t="s">
        <v>25</v>
      </c>
      <c r="H13" s="18" t="s">
        <v>22</v>
      </c>
      <c r="I13" s="19">
        <v>2023</v>
      </c>
      <c r="J13" s="19">
        <v>24</v>
      </c>
      <c r="K13" s="19">
        <v>58</v>
      </c>
      <c r="L13" s="20">
        <v>13870583</v>
      </c>
      <c r="M13" s="20">
        <v>7639303</v>
      </c>
      <c r="N13" s="20">
        <f t="shared" si="0"/>
        <v>-6231280</v>
      </c>
      <c r="O13" s="23" t="s">
        <v>49</v>
      </c>
      <c r="P13" s="24">
        <v>220</v>
      </c>
      <c r="Q13" s="23" t="s">
        <v>59</v>
      </c>
      <c r="R13" s="23" t="s">
        <v>60</v>
      </c>
      <c r="S13" s="23" t="s">
        <v>61</v>
      </c>
      <c r="T13" s="23" t="s">
        <v>31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</row>
    <row r="14" spans="1:363" x14ac:dyDescent="0.2">
      <c r="A14" s="36" t="s">
        <v>81</v>
      </c>
      <c r="B14" s="36" t="s">
        <v>82</v>
      </c>
      <c r="C14" s="36" t="s">
        <v>22</v>
      </c>
      <c r="D14" s="36" t="s">
        <v>133</v>
      </c>
      <c r="E14" s="36" t="s">
        <v>107</v>
      </c>
      <c r="F14" s="36">
        <v>21</v>
      </c>
      <c r="G14" s="36" t="s">
        <v>134</v>
      </c>
      <c r="H14" s="36" t="s">
        <v>135</v>
      </c>
      <c r="I14" s="36">
        <v>2023</v>
      </c>
      <c r="J14" s="36">
        <v>52</v>
      </c>
      <c r="K14" s="36">
        <v>34</v>
      </c>
      <c r="L14" s="38">
        <v>560000</v>
      </c>
      <c r="M14" s="38">
        <v>4140399</v>
      </c>
      <c r="N14" s="38">
        <f t="shared" si="0"/>
        <v>3580399</v>
      </c>
      <c r="O14" s="39" t="s">
        <v>63</v>
      </c>
      <c r="P14" s="40">
        <v>195</v>
      </c>
      <c r="Q14" s="39" t="s">
        <v>27</v>
      </c>
      <c r="R14" s="39" t="s">
        <v>136</v>
      </c>
      <c r="S14" s="39" t="s">
        <v>70</v>
      </c>
      <c r="T14" s="39" t="s">
        <v>31</v>
      </c>
    </row>
    <row r="15" spans="1:363" x14ac:dyDescent="0.2">
      <c r="A15" s="36" t="s">
        <v>96</v>
      </c>
      <c r="B15" s="36" t="s">
        <v>97</v>
      </c>
      <c r="C15" s="36" t="s">
        <v>22</v>
      </c>
      <c r="D15" s="36" t="s">
        <v>188</v>
      </c>
      <c r="E15" s="36" t="s">
        <v>35</v>
      </c>
      <c r="F15" s="36">
        <v>20</v>
      </c>
      <c r="G15" s="36" t="s">
        <v>97</v>
      </c>
      <c r="H15" s="36" t="s">
        <v>22</v>
      </c>
      <c r="I15" s="37">
        <v>2025</v>
      </c>
      <c r="J15" s="37">
        <v>14</v>
      </c>
      <c r="K15" s="37">
        <v>9</v>
      </c>
      <c r="L15" s="56">
        <v>23419859</v>
      </c>
      <c r="M15" s="56">
        <v>28822764</v>
      </c>
      <c r="N15" s="38">
        <f t="shared" si="0"/>
        <v>5402905</v>
      </c>
      <c r="O15" s="39" t="s">
        <v>74</v>
      </c>
      <c r="P15" s="40">
        <v>231</v>
      </c>
      <c r="Q15" s="39" t="s">
        <v>36</v>
      </c>
      <c r="R15" s="39" t="s">
        <v>99</v>
      </c>
      <c r="S15" s="39" t="s">
        <v>97</v>
      </c>
      <c r="T15" s="39" t="s">
        <v>31</v>
      </c>
    </row>
    <row r="16" spans="1:363" s="35" customFormat="1" x14ac:dyDescent="0.2">
      <c r="A16" s="18" t="s">
        <v>52</v>
      </c>
      <c r="B16" s="18" t="s">
        <v>53</v>
      </c>
      <c r="C16" s="18" t="s">
        <v>22</v>
      </c>
      <c r="D16" s="27" t="s">
        <v>176</v>
      </c>
      <c r="E16" s="19" t="s">
        <v>39</v>
      </c>
      <c r="F16" s="19">
        <v>23</v>
      </c>
      <c r="G16" s="18" t="s">
        <v>53</v>
      </c>
      <c r="H16" s="18" t="s">
        <v>22</v>
      </c>
      <c r="I16" s="19">
        <v>2024</v>
      </c>
      <c r="J16" s="19" t="s">
        <v>26</v>
      </c>
      <c r="K16" s="19">
        <v>17</v>
      </c>
      <c r="L16" s="20">
        <v>0</v>
      </c>
      <c r="M16" s="20">
        <v>18537485</v>
      </c>
      <c r="N16" s="20">
        <f t="shared" si="0"/>
        <v>18537485</v>
      </c>
      <c r="O16" s="23" t="s">
        <v>49</v>
      </c>
      <c r="P16" s="24">
        <v>197</v>
      </c>
      <c r="Q16" s="23" t="s">
        <v>40</v>
      </c>
      <c r="R16" s="23" t="s">
        <v>177</v>
      </c>
      <c r="S16" s="23" t="s">
        <v>178</v>
      </c>
      <c r="T16" s="23" t="s">
        <v>31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</row>
    <row r="17" spans="1:363" s="41" customFormat="1" x14ac:dyDescent="0.2">
      <c r="A17" s="36" t="s">
        <v>96</v>
      </c>
      <c r="B17" s="36" t="s">
        <v>97</v>
      </c>
      <c r="C17" s="36" t="s">
        <v>22</v>
      </c>
      <c r="D17" s="36" t="s">
        <v>98</v>
      </c>
      <c r="E17" s="36" t="s">
        <v>24</v>
      </c>
      <c r="F17" s="36">
        <v>18</v>
      </c>
      <c r="G17" s="36" t="s">
        <v>97</v>
      </c>
      <c r="H17" s="36" t="s">
        <v>22</v>
      </c>
      <c r="I17" s="37">
        <v>2023</v>
      </c>
      <c r="J17" s="37">
        <v>13</v>
      </c>
      <c r="K17" s="37">
        <v>45</v>
      </c>
      <c r="L17" s="38">
        <v>21422551</v>
      </c>
      <c r="M17" s="38">
        <v>0</v>
      </c>
      <c r="N17" s="38">
        <f t="shared" si="0"/>
        <v>-21422551</v>
      </c>
      <c r="O17" s="39" t="s">
        <v>40</v>
      </c>
      <c r="P17" s="40">
        <v>215</v>
      </c>
      <c r="Q17" s="39" t="s">
        <v>59</v>
      </c>
      <c r="R17" s="39" t="s">
        <v>99</v>
      </c>
      <c r="S17" s="39" t="s">
        <v>97</v>
      </c>
      <c r="T17" s="39" t="s">
        <v>31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</row>
    <row r="18" spans="1:363" s="41" customFormat="1" x14ac:dyDescent="0.2">
      <c r="A18" s="18" t="s">
        <v>69</v>
      </c>
      <c r="B18" s="18" t="s">
        <v>70</v>
      </c>
      <c r="C18" s="18" t="s">
        <v>22</v>
      </c>
      <c r="D18" s="19" t="s">
        <v>131</v>
      </c>
      <c r="E18" s="19" t="s">
        <v>39</v>
      </c>
      <c r="F18" s="19">
        <v>23</v>
      </c>
      <c r="G18" s="18" t="s">
        <v>70</v>
      </c>
      <c r="H18" s="18" t="s">
        <v>22</v>
      </c>
      <c r="I18" s="19">
        <v>2021</v>
      </c>
      <c r="J18" s="19" t="s">
        <v>26</v>
      </c>
      <c r="K18" s="19">
        <v>35</v>
      </c>
      <c r="L18" s="20">
        <v>0</v>
      </c>
      <c r="M18" s="20">
        <v>5321096</v>
      </c>
      <c r="N18" s="20">
        <f t="shared" si="0"/>
        <v>5321096</v>
      </c>
      <c r="O18" s="21" t="s">
        <v>27</v>
      </c>
      <c r="P18" s="22">
        <v>210</v>
      </c>
      <c r="Q18" s="21" t="s">
        <v>36</v>
      </c>
      <c r="R18" s="21" t="s">
        <v>132</v>
      </c>
      <c r="S18" s="21" t="s">
        <v>70</v>
      </c>
      <c r="T18" s="21" t="s">
        <v>31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</row>
    <row r="19" spans="1:363" s="41" customFormat="1" x14ac:dyDescent="0.2">
      <c r="A19" s="18" t="s">
        <v>20</v>
      </c>
      <c r="B19" s="18" t="s">
        <v>21</v>
      </c>
      <c r="C19" s="18" t="s">
        <v>22</v>
      </c>
      <c r="D19" s="19" t="s">
        <v>149</v>
      </c>
      <c r="E19" s="19" t="s">
        <v>35</v>
      </c>
      <c r="F19" s="19">
        <v>21</v>
      </c>
      <c r="G19" s="18" t="s">
        <v>25</v>
      </c>
      <c r="H19" s="18" t="s">
        <v>22</v>
      </c>
      <c r="I19" s="19">
        <v>2020</v>
      </c>
      <c r="J19" s="19" t="s">
        <v>26</v>
      </c>
      <c r="K19" s="19">
        <v>25</v>
      </c>
      <c r="L19" s="20">
        <v>0</v>
      </c>
      <c r="M19" s="20">
        <v>10803948</v>
      </c>
      <c r="N19" s="20">
        <f t="shared" si="0"/>
        <v>10803948</v>
      </c>
      <c r="O19" s="21" t="s">
        <v>45</v>
      </c>
      <c r="P19" s="22">
        <v>188</v>
      </c>
      <c r="Q19" s="21" t="s">
        <v>27</v>
      </c>
      <c r="R19" s="21" t="s">
        <v>150</v>
      </c>
      <c r="S19" s="21" t="s">
        <v>151</v>
      </c>
      <c r="T19" s="21" t="s">
        <v>31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</row>
    <row r="20" spans="1:363" s="41" customFormat="1" x14ac:dyDescent="0.2">
      <c r="A20" s="18" t="s">
        <v>76</v>
      </c>
      <c r="B20" s="18" t="s">
        <v>77</v>
      </c>
      <c r="C20" s="18" t="s">
        <v>22</v>
      </c>
      <c r="D20" s="27" t="s">
        <v>195</v>
      </c>
      <c r="E20" s="27" t="s">
        <v>24</v>
      </c>
      <c r="F20" s="18">
        <v>19</v>
      </c>
      <c r="G20" s="18" t="s">
        <v>77</v>
      </c>
      <c r="H20" s="18" t="s">
        <v>22</v>
      </c>
      <c r="I20" s="19">
        <v>2020</v>
      </c>
      <c r="J20" s="19" t="s">
        <v>26</v>
      </c>
      <c r="K20" s="19">
        <v>5</v>
      </c>
      <c r="L20" s="20">
        <v>0</v>
      </c>
      <c r="M20" s="20">
        <v>29083315</v>
      </c>
      <c r="N20" s="20">
        <f t="shared" si="0"/>
        <v>29083315</v>
      </c>
      <c r="O20" s="23" t="s">
        <v>49</v>
      </c>
      <c r="P20" s="24">
        <v>225</v>
      </c>
      <c r="Q20" s="23" t="s">
        <v>27</v>
      </c>
      <c r="R20" s="23" t="s">
        <v>80</v>
      </c>
      <c r="S20" s="23" t="s">
        <v>47</v>
      </c>
      <c r="T20" s="23" t="s">
        <v>31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</row>
    <row r="21" spans="1:363" s="35" customFormat="1" x14ac:dyDescent="0.2">
      <c r="A21" s="18" t="s">
        <v>20</v>
      </c>
      <c r="B21" s="18" t="s">
        <v>21</v>
      </c>
      <c r="C21" s="18" t="s">
        <v>22</v>
      </c>
      <c r="D21" s="19" t="s">
        <v>157</v>
      </c>
      <c r="E21" s="19" t="s">
        <v>24</v>
      </c>
      <c r="F21" s="19">
        <v>19</v>
      </c>
      <c r="G21" s="18" t="s">
        <v>25</v>
      </c>
      <c r="H21" s="18" t="s">
        <v>22</v>
      </c>
      <c r="I21" s="19">
        <v>2021</v>
      </c>
      <c r="J21" s="19">
        <v>25</v>
      </c>
      <c r="K21" s="19">
        <v>22</v>
      </c>
      <c r="L21" s="20">
        <v>11128042</v>
      </c>
      <c r="M21" s="20">
        <v>11805395</v>
      </c>
      <c r="N21" s="20">
        <f t="shared" si="0"/>
        <v>677353</v>
      </c>
      <c r="O21" s="21" t="s">
        <v>28</v>
      </c>
      <c r="P21" s="22">
        <v>206</v>
      </c>
      <c r="Q21" s="21" t="s">
        <v>108</v>
      </c>
      <c r="R21" s="21" t="s">
        <v>158</v>
      </c>
      <c r="S21" s="21" t="s">
        <v>159</v>
      </c>
      <c r="T21" s="21" t="s">
        <v>31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</row>
    <row r="22" spans="1:363" s="41" customFormat="1" x14ac:dyDescent="0.2">
      <c r="A22" s="18" t="s">
        <v>76</v>
      </c>
      <c r="B22" s="18" t="s">
        <v>77</v>
      </c>
      <c r="C22" s="18" t="s">
        <v>22</v>
      </c>
      <c r="D22" s="27" t="s">
        <v>198</v>
      </c>
      <c r="E22" s="27" t="s">
        <v>24</v>
      </c>
      <c r="F22" s="18">
        <v>19</v>
      </c>
      <c r="G22" s="18" t="s">
        <v>77</v>
      </c>
      <c r="H22" s="18" t="s">
        <v>22</v>
      </c>
      <c r="I22" s="19">
        <v>2022</v>
      </c>
      <c r="J22" s="19">
        <v>4</v>
      </c>
      <c r="K22" s="19">
        <v>3</v>
      </c>
      <c r="L22" s="20">
        <v>36371093</v>
      </c>
      <c r="M22" s="20">
        <v>40330432</v>
      </c>
      <c r="N22" s="20">
        <f t="shared" si="0"/>
        <v>3959339</v>
      </c>
      <c r="O22" s="23" t="s">
        <v>28</v>
      </c>
      <c r="P22" s="24">
        <v>220</v>
      </c>
      <c r="Q22" s="23" t="s">
        <v>141</v>
      </c>
      <c r="R22" s="23" t="s">
        <v>199</v>
      </c>
      <c r="S22" s="23" t="s">
        <v>47</v>
      </c>
      <c r="T22" s="23" t="s">
        <v>31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</row>
    <row r="23" spans="1:363" s="41" customFormat="1" x14ac:dyDescent="0.2">
      <c r="A23" s="18" t="s">
        <v>52</v>
      </c>
      <c r="B23" s="18" t="s">
        <v>53</v>
      </c>
      <c r="C23" s="18" t="s">
        <v>22</v>
      </c>
      <c r="D23" s="27" t="s">
        <v>146</v>
      </c>
      <c r="E23" s="19" t="s">
        <v>24</v>
      </c>
      <c r="F23" s="19">
        <v>19</v>
      </c>
      <c r="G23" s="18" t="s">
        <v>53</v>
      </c>
      <c r="H23" s="18" t="s">
        <v>22</v>
      </c>
      <c r="I23" s="19">
        <v>2021</v>
      </c>
      <c r="J23" s="19">
        <v>31</v>
      </c>
      <c r="K23" s="19">
        <v>28</v>
      </c>
      <c r="L23" s="20">
        <v>560000</v>
      </c>
      <c r="M23" s="20">
        <v>10393483</v>
      </c>
      <c r="N23" s="20">
        <f t="shared" si="0"/>
        <v>9833483</v>
      </c>
      <c r="O23" s="23" t="s">
        <v>55</v>
      </c>
      <c r="P23" s="24">
        <v>204</v>
      </c>
      <c r="Q23" s="23" t="s">
        <v>74</v>
      </c>
      <c r="R23" s="23" t="s">
        <v>147</v>
      </c>
      <c r="S23" s="23" t="s">
        <v>148</v>
      </c>
      <c r="T23" s="23" t="s">
        <v>31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</row>
    <row r="24" spans="1:363" s="41" customFormat="1" x14ac:dyDescent="0.2">
      <c r="A24" s="36" t="s">
        <v>100</v>
      </c>
      <c r="B24" s="36" t="s">
        <v>101</v>
      </c>
      <c r="C24" s="36" t="s">
        <v>22</v>
      </c>
      <c r="D24" s="52" t="s">
        <v>102</v>
      </c>
      <c r="E24" s="53" t="s">
        <v>24</v>
      </c>
      <c r="F24" s="54">
        <v>19</v>
      </c>
      <c r="G24" s="36" t="s">
        <v>103</v>
      </c>
      <c r="H24" s="36" t="s">
        <v>104</v>
      </c>
      <c r="I24" s="37">
        <v>2020</v>
      </c>
      <c r="J24" s="51" t="s">
        <v>26</v>
      </c>
      <c r="K24" s="37">
        <v>43</v>
      </c>
      <c r="L24" s="38">
        <v>0</v>
      </c>
      <c r="M24" s="55">
        <v>2517981</v>
      </c>
      <c r="N24" s="38">
        <f t="shared" si="0"/>
        <v>2517981</v>
      </c>
      <c r="O24" s="39" t="s">
        <v>45</v>
      </c>
      <c r="P24" s="40">
        <v>190</v>
      </c>
      <c r="Q24" s="39" t="s">
        <v>49</v>
      </c>
      <c r="R24" s="39" t="s">
        <v>105</v>
      </c>
      <c r="S24" s="39" t="s">
        <v>82</v>
      </c>
      <c r="T24" s="39" t="s">
        <v>31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</row>
    <row r="25" spans="1:363" s="41" customFormat="1" x14ac:dyDescent="0.2">
      <c r="A25" s="29" t="s">
        <v>52</v>
      </c>
      <c r="B25" s="29" t="s">
        <v>53</v>
      </c>
      <c r="C25" s="29" t="s">
        <v>22</v>
      </c>
      <c r="D25" s="30" t="s">
        <v>54</v>
      </c>
      <c r="E25" s="31" t="s">
        <v>39</v>
      </c>
      <c r="F25" s="31">
        <v>22</v>
      </c>
      <c r="G25" s="29" t="s">
        <v>53</v>
      </c>
      <c r="H25" s="29" t="s">
        <v>22</v>
      </c>
      <c r="I25" s="31">
        <v>2025</v>
      </c>
      <c r="J25" s="31" t="s">
        <v>26</v>
      </c>
      <c r="K25" s="31">
        <v>59</v>
      </c>
      <c r="L25" s="32">
        <v>0</v>
      </c>
      <c r="M25" s="32">
        <v>0</v>
      </c>
      <c r="N25" s="32">
        <f t="shared" si="0"/>
        <v>0</v>
      </c>
      <c r="O25" s="33" t="s">
        <v>55</v>
      </c>
      <c r="P25" s="34">
        <v>192</v>
      </c>
      <c r="Q25" s="33" t="s">
        <v>27</v>
      </c>
      <c r="R25" s="33" t="s">
        <v>56</v>
      </c>
      <c r="S25" s="33" t="s">
        <v>57</v>
      </c>
      <c r="T25" s="33" t="s">
        <v>31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</row>
    <row r="26" spans="1:363" s="41" customFormat="1" x14ac:dyDescent="0.2">
      <c r="A26" s="18" t="s">
        <v>69</v>
      </c>
      <c r="B26" s="18" t="s">
        <v>70</v>
      </c>
      <c r="C26" s="18" t="s">
        <v>22</v>
      </c>
      <c r="D26" s="19" t="s">
        <v>71</v>
      </c>
      <c r="E26" s="19" t="s">
        <v>24</v>
      </c>
      <c r="F26" s="19">
        <v>19</v>
      </c>
      <c r="G26" s="18" t="s">
        <v>70</v>
      </c>
      <c r="H26" s="18" t="s">
        <v>22</v>
      </c>
      <c r="I26" s="19">
        <v>2022</v>
      </c>
      <c r="J26" s="19">
        <v>16</v>
      </c>
      <c r="K26" s="19">
        <v>53</v>
      </c>
      <c r="L26" s="20">
        <v>17106137</v>
      </c>
      <c r="M26" s="20">
        <v>560000</v>
      </c>
      <c r="N26" s="20">
        <f t="shared" si="0"/>
        <v>-16546137</v>
      </c>
      <c r="O26" s="21" t="s">
        <v>45</v>
      </c>
      <c r="P26" s="22">
        <v>195</v>
      </c>
      <c r="Q26" s="21" t="s">
        <v>49</v>
      </c>
      <c r="R26" s="21" t="s">
        <v>72</v>
      </c>
      <c r="S26" s="21" t="s">
        <v>70</v>
      </c>
      <c r="T26" s="21" t="s">
        <v>31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</row>
    <row r="27" spans="1:363" s="41" customFormat="1" x14ac:dyDescent="0.2">
      <c r="A27" s="18" t="s">
        <v>191</v>
      </c>
      <c r="B27" s="18" t="s">
        <v>192</v>
      </c>
      <c r="C27" s="18" t="s">
        <v>22</v>
      </c>
      <c r="D27" s="18" t="s">
        <v>193</v>
      </c>
      <c r="E27" s="18" t="s">
        <v>24</v>
      </c>
      <c r="F27" s="18">
        <v>19</v>
      </c>
      <c r="G27" s="18" t="s">
        <v>192</v>
      </c>
      <c r="H27" s="18" t="s">
        <v>22</v>
      </c>
      <c r="I27" s="18">
        <v>2025</v>
      </c>
      <c r="J27" s="18"/>
      <c r="K27" s="18">
        <v>7</v>
      </c>
      <c r="L27" s="28"/>
      <c r="M27" s="20">
        <v>34193629</v>
      </c>
      <c r="N27" s="20">
        <f t="shared" si="0"/>
        <v>34193629</v>
      </c>
      <c r="O27" s="23" t="s">
        <v>55</v>
      </c>
      <c r="P27" s="24">
        <v>182</v>
      </c>
      <c r="Q27" s="23" t="s">
        <v>63</v>
      </c>
      <c r="R27" s="23" t="s">
        <v>194</v>
      </c>
      <c r="S27" s="23" t="s">
        <v>51</v>
      </c>
      <c r="T27" s="23" t="s">
        <v>31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</row>
    <row r="28" spans="1:363" s="41" customFormat="1" x14ac:dyDescent="0.2">
      <c r="A28" s="36" t="s">
        <v>76</v>
      </c>
      <c r="B28" s="36" t="s">
        <v>77</v>
      </c>
      <c r="C28" s="36" t="s">
        <v>22</v>
      </c>
      <c r="D28" s="51" t="s">
        <v>127</v>
      </c>
      <c r="E28" s="51" t="s">
        <v>39</v>
      </c>
      <c r="F28" s="36">
        <v>23</v>
      </c>
      <c r="G28" s="36" t="s">
        <v>77</v>
      </c>
      <c r="H28" s="36" t="s">
        <v>22</v>
      </c>
      <c r="I28" s="37">
        <v>2025</v>
      </c>
      <c r="J28" s="37" t="s">
        <v>26</v>
      </c>
      <c r="K28" s="37">
        <v>35</v>
      </c>
      <c r="L28" s="38">
        <v>0</v>
      </c>
      <c r="M28" s="38">
        <v>3423787</v>
      </c>
      <c r="N28" s="38">
        <f t="shared" si="0"/>
        <v>3423787</v>
      </c>
      <c r="O28" s="39" t="s">
        <v>28</v>
      </c>
      <c r="P28" s="40">
        <v>235</v>
      </c>
      <c r="Q28" s="39" t="s">
        <v>36</v>
      </c>
      <c r="R28" s="39" t="s">
        <v>128</v>
      </c>
      <c r="S28" s="39" t="s">
        <v>33</v>
      </c>
      <c r="T28" s="39" t="s">
        <v>31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</row>
    <row r="29" spans="1:363" s="41" customFormat="1" x14ac:dyDescent="0.2">
      <c r="A29" s="18" t="s">
        <v>81</v>
      </c>
      <c r="B29" s="18" t="s">
        <v>82</v>
      </c>
      <c r="C29" s="18" t="s">
        <v>22</v>
      </c>
      <c r="D29" s="18" t="s">
        <v>173</v>
      </c>
      <c r="E29" s="18" t="s">
        <v>24</v>
      </c>
      <c r="F29" s="18">
        <v>20</v>
      </c>
      <c r="G29" s="18" t="s">
        <v>84</v>
      </c>
      <c r="H29" s="18" t="s">
        <v>85</v>
      </c>
      <c r="I29" s="18">
        <v>2020</v>
      </c>
      <c r="J29" s="18">
        <v>20</v>
      </c>
      <c r="K29" s="18">
        <v>18</v>
      </c>
      <c r="L29" s="20">
        <v>12513127</v>
      </c>
      <c r="M29" s="20">
        <v>13638019</v>
      </c>
      <c r="N29" s="20">
        <f t="shared" si="0"/>
        <v>1124892</v>
      </c>
      <c r="O29" s="23" t="s">
        <v>49</v>
      </c>
      <c r="P29" s="24">
        <v>210</v>
      </c>
      <c r="Q29" s="23" t="s">
        <v>40</v>
      </c>
      <c r="R29" s="23" t="s">
        <v>174</v>
      </c>
      <c r="S29" s="23"/>
      <c r="T29" s="23" t="s">
        <v>175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</row>
    <row r="30" spans="1:363" x14ac:dyDescent="0.2">
      <c r="A30" s="18" t="s">
        <v>69</v>
      </c>
      <c r="B30" s="18" t="s">
        <v>70</v>
      </c>
      <c r="C30" s="18" t="s">
        <v>22</v>
      </c>
      <c r="D30" s="19" t="s">
        <v>181</v>
      </c>
      <c r="E30" s="19" t="s">
        <v>24</v>
      </c>
      <c r="F30" s="19">
        <v>19</v>
      </c>
      <c r="G30" s="18" t="s">
        <v>70</v>
      </c>
      <c r="H30" s="18" t="s">
        <v>22</v>
      </c>
      <c r="I30" s="19">
        <v>2021</v>
      </c>
      <c r="J30" s="19" t="s">
        <v>182</v>
      </c>
      <c r="K30" s="19">
        <v>12</v>
      </c>
      <c r="L30" s="20">
        <v>12888585</v>
      </c>
      <c r="M30" s="20">
        <v>18415445</v>
      </c>
      <c r="N30" s="20">
        <f t="shared" si="0"/>
        <v>5526860</v>
      </c>
      <c r="O30" s="21" t="s">
        <v>49</v>
      </c>
      <c r="P30" s="22">
        <v>190</v>
      </c>
      <c r="Q30" s="21" t="s">
        <v>40</v>
      </c>
      <c r="R30" s="21" t="s">
        <v>183</v>
      </c>
      <c r="S30" s="21" t="s">
        <v>184</v>
      </c>
      <c r="T30" s="21" t="s">
        <v>185</v>
      </c>
    </row>
    <row r="31" spans="1:363" x14ac:dyDescent="0.2">
      <c r="A31" s="36" t="s">
        <v>76</v>
      </c>
      <c r="B31" s="36" t="s">
        <v>77</v>
      </c>
      <c r="C31" s="36" t="s">
        <v>22</v>
      </c>
      <c r="D31" s="51" t="s">
        <v>122</v>
      </c>
      <c r="E31" s="51" t="s">
        <v>24</v>
      </c>
      <c r="F31" s="36">
        <v>19</v>
      </c>
      <c r="G31" s="36" t="s">
        <v>77</v>
      </c>
      <c r="H31" s="36" t="s">
        <v>22</v>
      </c>
      <c r="I31" s="37">
        <v>2021</v>
      </c>
      <c r="J31" s="37" t="s">
        <v>26</v>
      </c>
      <c r="K31" s="37">
        <v>37</v>
      </c>
      <c r="L31" s="38">
        <v>0</v>
      </c>
      <c r="M31" s="38">
        <v>4649614</v>
      </c>
      <c r="N31" s="38">
        <f t="shared" si="0"/>
        <v>4649614</v>
      </c>
      <c r="O31" s="39" t="s">
        <v>28</v>
      </c>
      <c r="P31" s="40">
        <v>205</v>
      </c>
      <c r="Q31" s="39" t="s">
        <v>41</v>
      </c>
      <c r="R31" s="39" t="s">
        <v>123</v>
      </c>
      <c r="S31" s="39" t="s">
        <v>124</v>
      </c>
      <c r="T31" s="39" t="s">
        <v>31</v>
      </c>
    </row>
    <row r="32" spans="1:363" x14ac:dyDescent="0.2">
      <c r="A32" s="36" t="s">
        <v>52</v>
      </c>
      <c r="B32" s="36" t="s">
        <v>53</v>
      </c>
      <c r="C32" s="36" t="s">
        <v>22</v>
      </c>
      <c r="D32" s="51" t="s">
        <v>129</v>
      </c>
      <c r="E32" s="37" t="s">
        <v>24</v>
      </c>
      <c r="F32" s="37">
        <v>20</v>
      </c>
      <c r="G32" s="36" t="s">
        <v>53</v>
      </c>
      <c r="H32" s="36" t="s">
        <v>22</v>
      </c>
      <c r="I32" s="37">
        <v>2023</v>
      </c>
      <c r="J32" s="37">
        <v>17</v>
      </c>
      <c r="K32" s="37">
        <v>35</v>
      </c>
      <c r="L32" s="38">
        <v>17882808</v>
      </c>
      <c r="M32" s="38">
        <v>5713534</v>
      </c>
      <c r="N32" s="38">
        <f t="shared" si="0"/>
        <v>-12169274</v>
      </c>
      <c r="O32" s="39" t="s">
        <v>27</v>
      </c>
      <c r="P32" s="40">
        <v>198</v>
      </c>
      <c r="Q32" s="39" t="s">
        <v>59</v>
      </c>
      <c r="R32" s="39" t="s">
        <v>130</v>
      </c>
      <c r="S32" s="39" t="s">
        <v>97</v>
      </c>
      <c r="T32" s="39" t="s">
        <v>31</v>
      </c>
    </row>
    <row r="33" spans="1:363" x14ac:dyDescent="0.2">
      <c r="A33" s="18" t="s">
        <v>20</v>
      </c>
      <c r="B33" s="18" t="s">
        <v>21</v>
      </c>
      <c r="C33" s="18" t="s">
        <v>22</v>
      </c>
      <c r="D33" s="27" t="s">
        <v>23</v>
      </c>
      <c r="E33" s="19" t="s">
        <v>24</v>
      </c>
      <c r="F33" s="19">
        <v>20</v>
      </c>
      <c r="G33" s="18" t="s">
        <v>25</v>
      </c>
      <c r="H33" s="18" t="s">
        <v>22</v>
      </c>
      <c r="I33" s="19">
        <v>2024</v>
      </c>
      <c r="J33" s="19">
        <v>5</v>
      </c>
      <c r="K33" s="19" t="s">
        <v>26</v>
      </c>
      <c r="L33" s="20">
        <v>37573217</v>
      </c>
      <c r="M33" s="20">
        <v>0</v>
      </c>
      <c r="N33" s="20">
        <f t="shared" si="0"/>
        <v>-37573217</v>
      </c>
      <c r="O33" s="23" t="s">
        <v>27</v>
      </c>
      <c r="P33" s="24">
        <v>203</v>
      </c>
      <c r="Q33" s="23" t="s">
        <v>28</v>
      </c>
      <c r="R33" s="23" t="s">
        <v>29</v>
      </c>
      <c r="S33" s="23" t="s">
        <v>30</v>
      </c>
      <c r="T33" s="23" t="s">
        <v>31</v>
      </c>
    </row>
    <row r="34" spans="1:363" x14ac:dyDescent="0.2">
      <c r="A34" s="36" t="s">
        <v>52</v>
      </c>
      <c r="B34" s="36" t="s">
        <v>53</v>
      </c>
      <c r="C34" s="36" t="s">
        <v>22</v>
      </c>
      <c r="D34" s="51" t="s">
        <v>117</v>
      </c>
      <c r="E34" s="37" t="s">
        <v>24</v>
      </c>
      <c r="F34" s="37">
        <v>19</v>
      </c>
      <c r="G34" s="36" t="s">
        <v>53</v>
      </c>
      <c r="H34" s="36" t="s">
        <v>22</v>
      </c>
      <c r="I34" s="37">
        <v>2022</v>
      </c>
      <c r="J34" s="37">
        <v>19</v>
      </c>
      <c r="K34" s="37">
        <v>38</v>
      </c>
      <c r="L34" s="38">
        <v>14763367</v>
      </c>
      <c r="M34" s="38">
        <v>4939563</v>
      </c>
      <c r="N34" s="38">
        <f t="shared" si="0"/>
        <v>-9823804</v>
      </c>
      <c r="O34" s="39" t="s">
        <v>118</v>
      </c>
      <c r="P34" s="40">
        <v>172</v>
      </c>
      <c r="Q34" s="39" t="s">
        <v>63</v>
      </c>
      <c r="R34" s="39" t="s">
        <v>119</v>
      </c>
      <c r="S34" s="39" t="s">
        <v>53</v>
      </c>
      <c r="T34" s="39" t="s">
        <v>31</v>
      </c>
    </row>
    <row r="35" spans="1:363" x14ac:dyDescent="0.2">
      <c r="A35" s="18" t="s">
        <v>52</v>
      </c>
      <c r="B35" s="18" t="s">
        <v>53</v>
      </c>
      <c r="C35" s="18" t="s">
        <v>22</v>
      </c>
      <c r="D35" s="27" t="s">
        <v>165</v>
      </c>
      <c r="E35" s="19" t="s">
        <v>24</v>
      </c>
      <c r="F35" s="19">
        <v>19</v>
      </c>
      <c r="G35" s="18" t="s">
        <v>53</v>
      </c>
      <c r="H35" s="18" t="s">
        <v>22</v>
      </c>
      <c r="I35" s="19">
        <v>2021</v>
      </c>
      <c r="J35" s="19">
        <v>7</v>
      </c>
      <c r="K35" s="19">
        <v>21</v>
      </c>
      <c r="L35" s="20">
        <v>24855347</v>
      </c>
      <c r="M35" s="20">
        <v>12517291</v>
      </c>
      <c r="N35" s="20">
        <f t="shared" si="0"/>
        <v>-12338056</v>
      </c>
      <c r="O35" s="23" t="s">
        <v>63</v>
      </c>
      <c r="P35" s="24">
        <v>186</v>
      </c>
      <c r="Q35" s="23" t="s">
        <v>74</v>
      </c>
      <c r="R35" s="23" t="s">
        <v>166</v>
      </c>
      <c r="S35" s="21" t="s">
        <v>53</v>
      </c>
      <c r="T35" s="23" t="s">
        <v>31</v>
      </c>
    </row>
    <row r="36" spans="1:363" x14ac:dyDescent="0.2">
      <c r="A36" s="18" t="s">
        <v>20</v>
      </c>
      <c r="B36" s="18" t="s">
        <v>21</v>
      </c>
      <c r="C36" s="18" t="s">
        <v>22</v>
      </c>
      <c r="D36" s="19" t="s">
        <v>48</v>
      </c>
      <c r="E36" s="19" t="s">
        <v>24</v>
      </c>
      <c r="F36" s="19">
        <v>19</v>
      </c>
      <c r="G36" s="18" t="s">
        <v>25</v>
      </c>
      <c r="H36" s="18" t="s">
        <v>22</v>
      </c>
      <c r="I36" s="19">
        <v>2020</v>
      </c>
      <c r="J36" s="19">
        <v>12</v>
      </c>
      <c r="K36" s="19" t="s">
        <v>26</v>
      </c>
      <c r="L36" s="20">
        <v>17878995</v>
      </c>
      <c r="M36" s="20">
        <v>0</v>
      </c>
      <c r="N36" s="20">
        <f t="shared" si="0"/>
        <v>-17878995</v>
      </c>
      <c r="O36" s="21" t="s">
        <v>49</v>
      </c>
      <c r="P36" s="22">
        <v>210</v>
      </c>
      <c r="Q36" s="21" t="s">
        <v>36</v>
      </c>
      <c r="R36" s="21" t="s">
        <v>50</v>
      </c>
      <c r="S36" s="21" t="s">
        <v>51</v>
      </c>
      <c r="T36" s="21" t="s">
        <v>31</v>
      </c>
    </row>
    <row r="37" spans="1:363" x14ac:dyDescent="0.2">
      <c r="A37" s="18" t="s">
        <v>69</v>
      </c>
      <c r="B37" s="18" t="s">
        <v>70</v>
      </c>
      <c r="C37" s="18" t="s">
        <v>22</v>
      </c>
      <c r="D37" s="19" t="s">
        <v>179</v>
      </c>
      <c r="E37" s="19" t="s">
        <v>35</v>
      </c>
      <c r="F37" s="19">
        <v>20</v>
      </c>
      <c r="G37" s="18" t="s">
        <v>70</v>
      </c>
      <c r="H37" s="18" t="s">
        <v>22</v>
      </c>
      <c r="I37" s="19">
        <v>2020</v>
      </c>
      <c r="J37" s="19">
        <v>34</v>
      </c>
      <c r="K37" s="19">
        <v>13</v>
      </c>
      <c r="L37" s="20">
        <v>560000</v>
      </c>
      <c r="M37" s="20">
        <v>17188836</v>
      </c>
      <c r="N37" s="20">
        <f t="shared" si="0"/>
        <v>16628836</v>
      </c>
      <c r="O37" s="21" t="s">
        <v>45</v>
      </c>
      <c r="P37" s="22">
        <v>165</v>
      </c>
      <c r="Q37" s="21" t="s">
        <v>63</v>
      </c>
      <c r="R37" s="21" t="s">
        <v>180</v>
      </c>
      <c r="S37" s="21" t="s">
        <v>70</v>
      </c>
      <c r="T37" s="21" t="s">
        <v>31</v>
      </c>
    </row>
    <row r="38" spans="1:363" x14ac:dyDescent="0.2">
      <c r="A38" s="36" t="s">
        <v>90</v>
      </c>
      <c r="B38" s="36" t="s">
        <v>91</v>
      </c>
      <c r="C38" s="36" t="s">
        <v>22</v>
      </c>
      <c r="D38" s="36" t="s">
        <v>111</v>
      </c>
      <c r="E38" s="36" t="s">
        <v>39</v>
      </c>
      <c r="F38" s="36">
        <v>22</v>
      </c>
      <c r="G38" s="36" t="s">
        <v>25</v>
      </c>
      <c r="H38" s="36" t="s">
        <v>22</v>
      </c>
      <c r="I38" s="36">
        <v>2025</v>
      </c>
      <c r="J38" s="36">
        <v>57</v>
      </c>
      <c r="K38" s="36">
        <v>41</v>
      </c>
      <c r="L38" s="38">
        <v>560000</v>
      </c>
      <c r="M38" s="38">
        <v>0</v>
      </c>
      <c r="N38" s="38">
        <f t="shared" si="0"/>
        <v>-560000</v>
      </c>
      <c r="O38" s="39" t="s">
        <v>49</v>
      </c>
      <c r="P38" s="40">
        <v>174</v>
      </c>
      <c r="Q38" s="39" t="s">
        <v>63</v>
      </c>
      <c r="R38" s="39" t="s">
        <v>112</v>
      </c>
      <c r="S38" s="39" t="s">
        <v>113</v>
      </c>
      <c r="T38" s="39" t="s">
        <v>31</v>
      </c>
    </row>
    <row r="39" spans="1:363" x14ac:dyDescent="0.2">
      <c r="A39" s="18" t="s">
        <v>137</v>
      </c>
      <c r="B39" s="18" t="s">
        <v>138</v>
      </c>
      <c r="C39" s="18" t="s">
        <v>22</v>
      </c>
      <c r="D39" s="18" t="s">
        <v>139</v>
      </c>
      <c r="E39" s="18" t="s">
        <v>39</v>
      </c>
      <c r="F39" s="18">
        <v>23</v>
      </c>
      <c r="G39" s="18" t="s">
        <v>140</v>
      </c>
      <c r="H39" s="18" t="s">
        <v>22</v>
      </c>
      <c r="I39" s="19">
        <v>2023</v>
      </c>
      <c r="J39" s="19" t="s">
        <v>26</v>
      </c>
      <c r="K39" s="19">
        <v>30</v>
      </c>
      <c r="L39" s="20">
        <v>0</v>
      </c>
      <c r="M39" s="20">
        <v>12394179</v>
      </c>
      <c r="N39" s="20">
        <f t="shared" si="0"/>
        <v>12394179</v>
      </c>
      <c r="O39" s="23" t="s">
        <v>74</v>
      </c>
      <c r="P39" s="24">
        <v>240</v>
      </c>
      <c r="Q39" s="23" t="s">
        <v>141</v>
      </c>
      <c r="R39" s="23" t="s">
        <v>142</v>
      </c>
      <c r="S39" s="23" t="s">
        <v>70</v>
      </c>
      <c r="T39" s="23" t="s">
        <v>31</v>
      </c>
    </row>
    <row r="40" spans="1:363" x14ac:dyDescent="0.2">
      <c r="A40" s="18" t="s">
        <v>202</v>
      </c>
      <c r="B40" s="18" t="s">
        <v>203</v>
      </c>
      <c r="C40" s="18" t="s">
        <v>22</v>
      </c>
      <c r="D40" s="18" t="s">
        <v>204</v>
      </c>
      <c r="E40" s="18" t="s">
        <v>205</v>
      </c>
      <c r="F40" s="18" t="s">
        <v>204</v>
      </c>
      <c r="G40" s="18" t="s">
        <v>204</v>
      </c>
      <c r="H40" s="18" t="s">
        <v>204</v>
      </c>
      <c r="I40" s="18" t="s">
        <v>204</v>
      </c>
    </row>
    <row r="41" spans="1:363" x14ac:dyDescent="0.2">
      <c r="A41" s="18" t="s">
        <v>206</v>
      </c>
      <c r="B41" s="18" t="s">
        <v>207</v>
      </c>
      <c r="C41" s="18" t="s">
        <v>22</v>
      </c>
      <c r="D41" s="18" t="s">
        <v>204</v>
      </c>
      <c r="E41" s="18" t="s">
        <v>205</v>
      </c>
      <c r="F41" s="18" t="s">
        <v>204</v>
      </c>
      <c r="G41" s="18" t="s">
        <v>204</v>
      </c>
      <c r="H41" s="18" t="s">
        <v>204</v>
      </c>
      <c r="I41" s="18" t="s">
        <v>204</v>
      </c>
      <c r="J41" s="27"/>
      <c r="K41" s="19"/>
    </row>
    <row r="42" spans="1:363" x14ac:dyDescent="0.2">
      <c r="A42" s="18" t="s">
        <v>208</v>
      </c>
      <c r="B42" s="18" t="s">
        <v>209</v>
      </c>
      <c r="C42" s="18" t="s">
        <v>22</v>
      </c>
      <c r="D42" s="18" t="s">
        <v>204</v>
      </c>
      <c r="E42" s="18" t="s">
        <v>205</v>
      </c>
      <c r="F42" s="18" t="s">
        <v>204</v>
      </c>
      <c r="G42" s="18" t="s">
        <v>204</v>
      </c>
      <c r="H42" s="18" t="s">
        <v>204</v>
      </c>
      <c r="I42" s="18" t="s">
        <v>204</v>
      </c>
    </row>
    <row r="43" spans="1:363" x14ac:dyDescent="0.2">
      <c r="A43" s="18" t="s">
        <v>210</v>
      </c>
      <c r="B43" s="18" t="s">
        <v>211</v>
      </c>
      <c r="C43" s="18" t="s">
        <v>22</v>
      </c>
      <c r="D43" s="18" t="s">
        <v>204</v>
      </c>
      <c r="E43" s="18" t="s">
        <v>205</v>
      </c>
      <c r="F43" s="18" t="s">
        <v>204</v>
      </c>
      <c r="G43" s="18" t="s">
        <v>204</v>
      </c>
      <c r="H43" s="18" t="s">
        <v>204</v>
      </c>
      <c r="I43" s="18" t="s">
        <v>204</v>
      </c>
    </row>
    <row r="44" spans="1:363" x14ac:dyDescent="0.2">
      <c r="A44" s="18" t="s">
        <v>20</v>
      </c>
      <c r="B44" s="18" t="s">
        <v>21</v>
      </c>
      <c r="C44" s="18" t="s">
        <v>22</v>
      </c>
      <c r="D44" s="19" t="s">
        <v>106</v>
      </c>
      <c r="E44" s="19" t="s">
        <v>107</v>
      </c>
      <c r="F44" s="19">
        <v>23</v>
      </c>
      <c r="G44" s="18" t="s">
        <v>25</v>
      </c>
      <c r="H44" s="18" t="s">
        <v>22</v>
      </c>
      <c r="I44" s="19">
        <v>2020</v>
      </c>
      <c r="J44" s="19" t="s">
        <v>26</v>
      </c>
      <c r="K44" s="19">
        <v>42</v>
      </c>
      <c r="L44" s="20">
        <v>0</v>
      </c>
      <c r="M44" s="20">
        <v>4300602</v>
      </c>
      <c r="N44" s="20">
        <f t="shared" ref="N44:N58" si="1">M44-L44</f>
        <v>4300602</v>
      </c>
      <c r="O44" s="21" t="s">
        <v>59</v>
      </c>
      <c r="P44" s="22">
        <v>247</v>
      </c>
      <c r="Q44" s="21" t="s">
        <v>108</v>
      </c>
      <c r="R44" s="21" t="s">
        <v>109</v>
      </c>
      <c r="S44" s="21"/>
      <c r="T44" s="21" t="s">
        <v>110</v>
      </c>
    </row>
    <row r="45" spans="1:363" x14ac:dyDescent="0.2">
      <c r="A45" s="18" t="s">
        <v>81</v>
      </c>
      <c r="B45" s="18" t="s">
        <v>82</v>
      </c>
      <c r="C45" s="18" t="s">
        <v>22</v>
      </c>
      <c r="D45" s="18" t="s">
        <v>83</v>
      </c>
      <c r="E45" s="18" t="s">
        <v>24</v>
      </c>
      <c r="F45" s="18">
        <v>19</v>
      </c>
      <c r="G45" s="18" t="s">
        <v>84</v>
      </c>
      <c r="H45" s="18" t="s">
        <v>85</v>
      </c>
      <c r="I45" s="18">
        <v>2020</v>
      </c>
      <c r="J45" s="18">
        <v>7</v>
      </c>
      <c r="K45" s="18">
        <v>48</v>
      </c>
      <c r="L45" s="20">
        <v>24131515</v>
      </c>
      <c r="M45" s="20">
        <v>560000</v>
      </c>
      <c r="N45" s="20">
        <f t="shared" si="1"/>
        <v>-23571515</v>
      </c>
      <c r="O45" s="23" t="s">
        <v>45</v>
      </c>
      <c r="P45" s="24">
        <v>190</v>
      </c>
      <c r="Q45" s="23" t="s">
        <v>86</v>
      </c>
      <c r="R45" s="23" t="s">
        <v>87</v>
      </c>
      <c r="T45" s="23" t="s">
        <v>88</v>
      </c>
    </row>
    <row r="46" spans="1:363" x14ac:dyDescent="0.2">
      <c r="A46" s="18" t="s">
        <v>69</v>
      </c>
      <c r="B46" s="18" t="s">
        <v>70</v>
      </c>
      <c r="C46" s="18" t="s">
        <v>22</v>
      </c>
      <c r="D46" s="19" t="s">
        <v>163</v>
      </c>
      <c r="E46" s="19" t="s">
        <v>24</v>
      </c>
      <c r="F46" s="19">
        <v>18</v>
      </c>
      <c r="G46" s="18" t="s">
        <v>70</v>
      </c>
      <c r="H46" s="18" t="s">
        <v>22</v>
      </c>
      <c r="I46" s="19">
        <v>2023</v>
      </c>
      <c r="J46" s="19" t="s">
        <v>26</v>
      </c>
      <c r="K46" s="19">
        <v>21</v>
      </c>
      <c r="L46" s="20">
        <v>0</v>
      </c>
      <c r="M46" s="20">
        <v>15146274</v>
      </c>
      <c r="N46" s="20">
        <f t="shared" si="1"/>
        <v>15146274</v>
      </c>
      <c r="O46" s="21" t="s">
        <v>28</v>
      </c>
      <c r="P46" s="22">
        <v>210</v>
      </c>
      <c r="Q46" s="21" t="s">
        <v>108</v>
      </c>
      <c r="R46" s="21" t="s">
        <v>164</v>
      </c>
      <c r="S46" s="21" t="s">
        <v>97</v>
      </c>
      <c r="T46" s="21" t="s">
        <v>31</v>
      </c>
    </row>
    <row r="47" spans="1:363" x14ac:dyDescent="0.2">
      <c r="A47" s="18" t="s">
        <v>20</v>
      </c>
      <c r="B47" s="18" t="s">
        <v>21</v>
      </c>
      <c r="C47" s="18" t="s">
        <v>22</v>
      </c>
      <c r="D47" s="19" t="s">
        <v>38</v>
      </c>
      <c r="E47" s="19" t="s">
        <v>39</v>
      </c>
      <c r="F47" s="19">
        <v>25</v>
      </c>
      <c r="G47" s="18" t="s">
        <v>25</v>
      </c>
      <c r="H47" s="18" t="s">
        <v>22</v>
      </c>
      <c r="I47" s="19">
        <v>2023</v>
      </c>
      <c r="J47" s="19">
        <v>41</v>
      </c>
      <c r="K47" s="19" t="s">
        <v>26</v>
      </c>
      <c r="L47" s="20">
        <v>560000</v>
      </c>
      <c r="M47" s="20">
        <v>0</v>
      </c>
      <c r="N47" s="20">
        <f t="shared" si="1"/>
        <v>-560000</v>
      </c>
      <c r="O47" s="23" t="s">
        <v>40</v>
      </c>
      <c r="P47" s="24">
        <v>260</v>
      </c>
      <c r="Q47" s="23" t="s">
        <v>41</v>
      </c>
      <c r="R47" s="26" t="s">
        <v>42</v>
      </c>
      <c r="T47" s="26" t="s">
        <v>43</v>
      </c>
    </row>
    <row r="48" spans="1:363" s="41" customFormat="1" x14ac:dyDescent="0.2">
      <c r="A48" s="18" t="s">
        <v>20</v>
      </c>
      <c r="B48" s="18" t="s">
        <v>21</v>
      </c>
      <c r="C48" s="18" t="s">
        <v>22</v>
      </c>
      <c r="D48" s="27" t="s">
        <v>196</v>
      </c>
      <c r="E48" s="19" t="s">
        <v>24</v>
      </c>
      <c r="F48" s="19">
        <v>20</v>
      </c>
      <c r="G48" s="18" t="s">
        <v>25</v>
      </c>
      <c r="H48" s="18" t="s">
        <v>22</v>
      </c>
      <c r="I48" s="19">
        <v>2024</v>
      </c>
      <c r="J48" s="19" t="s">
        <v>26</v>
      </c>
      <c r="K48" s="19">
        <v>3</v>
      </c>
      <c r="L48" s="20">
        <v>0</v>
      </c>
      <c r="M48" s="20">
        <v>45987522</v>
      </c>
      <c r="N48" s="20">
        <f t="shared" si="1"/>
        <v>45987522</v>
      </c>
      <c r="O48" s="23" t="s">
        <v>45</v>
      </c>
      <c r="P48" s="24">
        <v>187</v>
      </c>
      <c r="Q48" s="23" t="s">
        <v>45</v>
      </c>
      <c r="R48" s="23" t="s">
        <v>197</v>
      </c>
      <c r="S48" s="23" t="s">
        <v>25</v>
      </c>
      <c r="T48" s="23" t="s">
        <v>31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</row>
    <row r="49" spans="1:20" x14ac:dyDescent="0.2">
      <c r="A49" s="18" t="s">
        <v>20</v>
      </c>
      <c r="B49" s="18" t="s">
        <v>21</v>
      </c>
      <c r="C49" s="18" t="s">
        <v>22</v>
      </c>
      <c r="D49" s="27" t="s">
        <v>189</v>
      </c>
      <c r="E49" s="19" t="s">
        <v>24</v>
      </c>
      <c r="F49" s="19">
        <v>19</v>
      </c>
      <c r="G49" s="18" t="s">
        <v>25</v>
      </c>
      <c r="H49" s="18" t="s">
        <v>22</v>
      </c>
      <c r="I49" s="19">
        <v>2024</v>
      </c>
      <c r="J49" s="19">
        <v>42</v>
      </c>
      <c r="K49" s="19">
        <v>8</v>
      </c>
      <c r="L49" s="20">
        <v>560000</v>
      </c>
      <c r="M49" s="20">
        <v>28575059</v>
      </c>
      <c r="N49" s="20">
        <f t="shared" si="1"/>
        <v>28015059</v>
      </c>
      <c r="O49" s="23" t="s">
        <v>86</v>
      </c>
      <c r="P49" s="24">
        <v>170</v>
      </c>
      <c r="Q49" s="23" t="s">
        <v>45</v>
      </c>
      <c r="R49" s="23" t="s">
        <v>190</v>
      </c>
      <c r="S49" s="23" t="s">
        <v>148</v>
      </c>
      <c r="T49" s="23" t="s">
        <v>31</v>
      </c>
    </row>
    <row r="50" spans="1:20" x14ac:dyDescent="0.2">
      <c r="A50" s="36" t="s">
        <v>65</v>
      </c>
      <c r="B50" s="36" t="s">
        <v>47</v>
      </c>
      <c r="C50" s="36" t="s">
        <v>22</v>
      </c>
      <c r="D50" s="36" t="s">
        <v>66</v>
      </c>
      <c r="E50" s="36" t="s">
        <v>35</v>
      </c>
      <c r="F50" s="36">
        <v>20</v>
      </c>
      <c r="G50" s="36" t="s">
        <v>33</v>
      </c>
      <c r="H50" s="36" t="s">
        <v>22</v>
      </c>
      <c r="I50" s="37">
        <v>2021</v>
      </c>
      <c r="J50" s="37">
        <v>10</v>
      </c>
      <c r="K50" s="37">
        <v>56</v>
      </c>
      <c r="L50" s="38">
        <v>19328334</v>
      </c>
      <c r="M50" s="38">
        <v>560000</v>
      </c>
      <c r="N50" s="38">
        <f t="shared" si="1"/>
        <v>-18768334</v>
      </c>
      <c r="O50" s="39" t="s">
        <v>63</v>
      </c>
      <c r="P50" s="40">
        <v>189</v>
      </c>
      <c r="Q50" s="39" t="s">
        <v>36</v>
      </c>
      <c r="R50" s="39" t="s">
        <v>67</v>
      </c>
      <c r="S50" s="39" t="s">
        <v>68</v>
      </c>
      <c r="T50" s="39" t="s">
        <v>31</v>
      </c>
    </row>
    <row r="51" spans="1:20" x14ac:dyDescent="0.2">
      <c r="A51" s="18" t="s">
        <v>76</v>
      </c>
      <c r="B51" s="18" t="s">
        <v>77</v>
      </c>
      <c r="C51" s="18" t="s">
        <v>22</v>
      </c>
      <c r="D51" s="27" t="s">
        <v>78</v>
      </c>
      <c r="E51" s="27" t="s">
        <v>24</v>
      </c>
      <c r="F51" s="18">
        <v>19</v>
      </c>
      <c r="G51" s="18" t="s">
        <v>77</v>
      </c>
      <c r="H51" s="18" t="s">
        <v>22</v>
      </c>
      <c r="I51" s="19">
        <v>2021</v>
      </c>
      <c r="J51" s="19" t="s">
        <v>26</v>
      </c>
      <c r="K51" s="19">
        <v>48</v>
      </c>
      <c r="L51" s="20">
        <v>0</v>
      </c>
      <c r="M51" s="20">
        <v>560000</v>
      </c>
      <c r="N51" s="20">
        <f t="shared" si="1"/>
        <v>560000</v>
      </c>
      <c r="O51" s="23" t="s">
        <v>79</v>
      </c>
      <c r="P51" s="24">
        <v>180</v>
      </c>
      <c r="Q51" s="23" t="s">
        <v>79</v>
      </c>
      <c r="R51" s="23" t="s">
        <v>80</v>
      </c>
      <c r="S51" s="23" t="s">
        <v>47</v>
      </c>
      <c r="T51" s="23" t="s">
        <v>31</v>
      </c>
    </row>
    <row r="52" spans="1:20" x14ac:dyDescent="0.2">
      <c r="A52" s="18" t="s">
        <v>65</v>
      </c>
      <c r="B52" s="18" t="s">
        <v>47</v>
      </c>
      <c r="C52" s="18" t="s">
        <v>22</v>
      </c>
      <c r="D52" s="18" t="s">
        <v>171</v>
      </c>
      <c r="E52" s="18" t="s">
        <v>35</v>
      </c>
      <c r="F52" s="18">
        <v>20</v>
      </c>
      <c r="G52" s="18" t="s">
        <v>33</v>
      </c>
      <c r="H52" s="18" t="s">
        <v>22</v>
      </c>
      <c r="I52" s="19">
        <v>2021</v>
      </c>
      <c r="J52" s="19" t="s">
        <v>26</v>
      </c>
      <c r="K52" s="19">
        <v>18</v>
      </c>
      <c r="L52" s="20">
        <v>0</v>
      </c>
      <c r="M52" s="20">
        <v>14047213</v>
      </c>
      <c r="N52" s="20">
        <f t="shared" si="1"/>
        <v>14047213</v>
      </c>
      <c r="O52" s="23" t="s">
        <v>63</v>
      </c>
      <c r="P52" s="24">
        <v>190</v>
      </c>
      <c r="Q52" s="23" t="s">
        <v>55</v>
      </c>
      <c r="R52" s="23" t="s">
        <v>172</v>
      </c>
      <c r="S52" s="23" t="s">
        <v>33</v>
      </c>
      <c r="T52" s="23" t="s">
        <v>31</v>
      </c>
    </row>
    <row r="53" spans="1:20" x14ac:dyDescent="0.2">
      <c r="A53" s="18" t="s">
        <v>20</v>
      </c>
      <c r="B53" s="18" t="s">
        <v>21</v>
      </c>
      <c r="C53" s="18" t="s">
        <v>22</v>
      </c>
      <c r="D53" s="19" t="s">
        <v>167</v>
      </c>
      <c r="E53" s="19" t="s">
        <v>24</v>
      </c>
      <c r="F53" s="19">
        <v>20</v>
      </c>
      <c r="G53" s="18" t="s">
        <v>25</v>
      </c>
      <c r="H53" s="18" t="s">
        <v>22</v>
      </c>
      <c r="I53" s="19">
        <v>2020</v>
      </c>
      <c r="J53" s="19">
        <v>14</v>
      </c>
      <c r="K53" s="19">
        <v>21</v>
      </c>
      <c r="L53" s="20">
        <v>16528217</v>
      </c>
      <c r="M53" s="20">
        <v>12152560</v>
      </c>
      <c r="N53" s="20">
        <f t="shared" si="1"/>
        <v>-4375657</v>
      </c>
      <c r="O53" s="21" t="s">
        <v>45</v>
      </c>
      <c r="P53" s="22">
        <v>198</v>
      </c>
      <c r="Q53" s="21" t="s">
        <v>74</v>
      </c>
      <c r="R53" s="21" t="s">
        <v>168</v>
      </c>
      <c r="S53" s="21" t="s">
        <v>82</v>
      </c>
      <c r="T53" s="21" t="s">
        <v>31</v>
      </c>
    </row>
    <row r="54" spans="1:20" x14ac:dyDescent="0.2">
      <c r="A54" s="18" t="s">
        <v>20</v>
      </c>
      <c r="B54" s="18" t="s">
        <v>21</v>
      </c>
      <c r="C54" s="18" t="s">
        <v>22</v>
      </c>
      <c r="D54" s="19" t="s">
        <v>143</v>
      </c>
      <c r="E54" s="19" t="s">
        <v>24</v>
      </c>
      <c r="F54" s="19">
        <v>20</v>
      </c>
      <c r="G54" s="18" t="s">
        <v>25</v>
      </c>
      <c r="H54" s="18" t="s">
        <v>22</v>
      </c>
      <c r="I54" s="19">
        <v>2022</v>
      </c>
      <c r="J54" s="19">
        <v>11</v>
      </c>
      <c r="K54" s="19">
        <v>29</v>
      </c>
      <c r="L54" s="20">
        <v>21066202</v>
      </c>
      <c r="M54" s="20">
        <v>11349659</v>
      </c>
      <c r="N54" s="20">
        <f t="shared" si="1"/>
        <v>-9716543</v>
      </c>
      <c r="O54" s="23" t="s">
        <v>45</v>
      </c>
      <c r="P54" s="24">
        <v>197</v>
      </c>
      <c r="Q54" s="23" t="s">
        <v>27</v>
      </c>
      <c r="R54" s="23" t="s">
        <v>144</v>
      </c>
      <c r="S54" s="23" t="s">
        <v>145</v>
      </c>
      <c r="T54" s="25" t="s">
        <v>31</v>
      </c>
    </row>
    <row r="55" spans="1:20" x14ac:dyDescent="0.2">
      <c r="A55" s="18" t="s">
        <v>76</v>
      </c>
      <c r="B55" s="18" t="s">
        <v>77</v>
      </c>
      <c r="C55" s="18" t="s">
        <v>22</v>
      </c>
      <c r="D55" s="27" t="s">
        <v>154</v>
      </c>
      <c r="E55" s="27" t="s">
        <v>35</v>
      </c>
      <c r="F55" s="18">
        <v>21</v>
      </c>
      <c r="G55" s="18" t="s">
        <v>77</v>
      </c>
      <c r="H55" s="18" t="s">
        <v>22</v>
      </c>
      <c r="I55" s="19">
        <v>2022</v>
      </c>
      <c r="J55" s="19">
        <v>36</v>
      </c>
      <c r="K55" s="19">
        <v>22</v>
      </c>
      <c r="L55" s="20">
        <v>560000</v>
      </c>
      <c r="M55" s="20">
        <v>13372418</v>
      </c>
      <c r="N55" s="20">
        <f t="shared" si="1"/>
        <v>12812418</v>
      </c>
      <c r="O55" s="23" t="s">
        <v>141</v>
      </c>
      <c r="P55" s="24">
        <v>245</v>
      </c>
      <c r="Q55" s="23" t="s">
        <v>155</v>
      </c>
      <c r="R55" s="23" t="s">
        <v>156</v>
      </c>
      <c r="S55" s="23" t="s">
        <v>47</v>
      </c>
      <c r="T55" s="23" t="s">
        <v>31</v>
      </c>
    </row>
    <row r="56" spans="1:20" x14ac:dyDescent="0.2">
      <c r="A56" s="18" t="s">
        <v>32</v>
      </c>
      <c r="B56" s="18" t="s">
        <v>33</v>
      </c>
      <c r="C56" s="18" t="s">
        <v>22</v>
      </c>
      <c r="D56" s="18" t="s">
        <v>169</v>
      </c>
      <c r="E56" s="18" t="s">
        <v>39</v>
      </c>
      <c r="F56" s="18">
        <v>22</v>
      </c>
      <c r="G56" s="18" t="s">
        <v>33</v>
      </c>
      <c r="H56" s="18" t="s">
        <v>22</v>
      </c>
      <c r="I56" s="19">
        <v>2025</v>
      </c>
      <c r="J56" s="19" t="s">
        <v>26</v>
      </c>
      <c r="K56" s="19">
        <v>18</v>
      </c>
      <c r="L56" s="20">
        <v>0</v>
      </c>
      <c r="M56" s="20">
        <v>19324472</v>
      </c>
      <c r="N56" s="20">
        <f t="shared" si="1"/>
        <v>19324472</v>
      </c>
      <c r="O56" s="23" t="s">
        <v>86</v>
      </c>
      <c r="P56" s="24">
        <v>195</v>
      </c>
      <c r="Q56" s="23" t="s">
        <v>55</v>
      </c>
      <c r="R56" s="23" t="s">
        <v>170</v>
      </c>
      <c r="S56" s="23" t="s">
        <v>33</v>
      </c>
      <c r="T56" s="23" t="s">
        <v>31</v>
      </c>
    </row>
    <row r="57" spans="1:20" x14ac:dyDescent="0.2">
      <c r="A57" s="29" t="s">
        <v>32</v>
      </c>
      <c r="B57" s="29" t="s">
        <v>33</v>
      </c>
      <c r="C57" s="29" t="s">
        <v>22</v>
      </c>
      <c r="D57" s="29" t="s">
        <v>62</v>
      </c>
      <c r="E57" s="29" t="s">
        <v>39</v>
      </c>
      <c r="F57" s="29">
        <v>22</v>
      </c>
      <c r="G57" s="29" t="s">
        <v>33</v>
      </c>
      <c r="H57" s="29" t="s">
        <v>22</v>
      </c>
      <c r="I57" s="31">
        <v>2025</v>
      </c>
      <c r="J57" s="31" t="s">
        <v>26</v>
      </c>
      <c r="K57" s="31">
        <v>56</v>
      </c>
      <c r="L57" s="32">
        <v>0</v>
      </c>
      <c r="M57" s="32">
        <v>0</v>
      </c>
      <c r="N57" s="32">
        <f t="shared" si="1"/>
        <v>0</v>
      </c>
      <c r="O57" s="33" t="s">
        <v>63</v>
      </c>
      <c r="P57" s="34">
        <v>195</v>
      </c>
      <c r="Q57" s="33" t="s">
        <v>28</v>
      </c>
      <c r="R57" s="33" t="s">
        <v>64</v>
      </c>
      <c r="S57" s="33" t="s">
        <v>47</v>
      </c>
      <c r="T57" s="33" t="s">
        <v>31</v>
      </c>
    </row>
    <row r="58" spans="1:20" x14ac:dyDescent="0.2">
      <c r="A58" s="18" t="s">
        <v>81</v>
      </c>
      <c r="B58" s="18" t="s">
        <v>82</v>
      </c>
      <c r="C58" s="18" t="s">
        <v>22</v>
      </c>
      <c r="D58" s="18" t="s">
        <v>160</v>
      </c>
      <c r="E58" s="18" t="s">
        <v>24</v>
      </c>
      <c r="F58" s="18">
        <v>19</v>
      </c>
      <c r="G58" s="18" t="s">
        <v>84</v>
      </c>
      <c r="H58" s="18" t="s">
        <v>85</v>
      </c>
      <c r="I58" s="18">
        <v>2020</v>
      </c>
      <c r="J58" s="18" t="s">
        <v>26</v>
      </c>
      <c r="K58" s="18">
        <v>22</v>
      </c>
      <c r="L58" s="20">
        <v>0</v>
      </c>
      <c r="M58" s="20">
        <v>11802681</v>
      </c>
      <c r="N58" s="20">
        <f t="shared" si="1"/>
        <v>11802681</v>
      </c>
      <c r="O58" s="23" t="s">
        <v>59</v>
      </c>
      <c r="P58" s="24">
        <v>240</v>
      </c>
      <c r="Q58" s="23" t="s">
        <v>141</v>
      </c>
      <c r="R58" s="23" t="s">
        <v>161</v>
      </c>
      <c r="S58" s="23" t="s">
        <v>162</v>
      </c>
      <c r="T58" s="23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1170-50BA-E843-B3EF-EC5BDFF2056B}">
  <dimension ref="A1:T48"/>
  <sheetViews>
    <sheetView zoomScale="109" workbookViewId="0">
      <selection activeCell="L15" sqref="L15"/>
    </sheetView>
  </sheetViews>
  <sheetFormatPr baseColWidth="10" defaultColWidth="11" defaultRowHeight="16" x14ac:dyDescent="0.2"/>
  <cols>
    <col min="1" max="1" width="16.5" style="5" customWidth="1"/>
    <col min="2" max="2" width="19.6640625" style="5" customWidth="1"/>
    <col min="3" max="3" width="25" style="5" customWidth="1"/>
    <col min="4" max="4" width="23.1640625" style="5" customWidth="1"/>
    <col min="5" max="7" width="16.5" style="5" customWidth="1"/>
    <col min="8" max="8" width="18.5" style="5" customWidth="1"/>
    <col min="9" max="11" width="16.5" style="5" customWidth="1"/>
    <col min="12" max="12" width="18.33203125" style="6" customWidth="1"/>
    <col min="13" max="13" width="16.5" style="6" customWidth="1"/>
    <col min="14" max="14" width="16.5" style="5" customWidth="1"/>
    <col min="16" max="16" width="11" style="5"/>
    <col min="17" max="17" width="11.5" customWidth="1"/>
    <col min="18" max="18" width="14.33203125" bestFit="1" customWidth="1"/>
    <col min="19" max="19" width="12.6640625" bestFit="1" customWidth="1"/>
    <col min="20" max="20" width="17.1640625" bestFit="1" customWidth="1"/>
  </cols>
  <sheetData>
    <row r="1" spans="1:2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">
      <c r="A2" s="5" t="s">
        <v>237</v>
      </c>
      <c r="B2" s="5" t="s">
        <v>238</v>
      </c>
      <c r="C2" s="5" t="s">
        <v>214</v>
      </c>
      <c r="D2" s="5" t="s">
        <v>204</v>
      </c>
      <c r="E2" s="5" t="s">
        <v>204</v>
      </c>
      <c r="F2" s="5" t="s">
        <v>204</v>
      </c>
      <c r="G2" s="5" t="s">
        <v>204</v>
      </c>
      <c r="H2" s="5" t="s">
        <v>204</v>
      </c>
      <c r="I2" s="5" t="s">
        <v>204</v>
      </c>
      <c r="J2" s="5" t="s">
        <v>204</v>
      </c>
      <c r="K2" s="5" t="s">
        <v>204</v>
      </c>
      <c r="L2" s="4"/>
      <c r="M2" s="4"/>
      <c r="N2" s="4">
        <f t="shared" ref="N2:N48" si="0">M2-L2</f>
        <v>0</v>
      </c>
    </row>
    <row r="3" spans="1:20" x14ac:dyDescent="0.2">
      <c r="A3" s="5" t="s">
        <v>219</v>
      </c>
      <c r="B3" s="5" t="s">
        <v>51</v>
      </c>
      <c r="C3" s="5" t="s">
        <v>214</v>
      </c>
      <c r="D3" s="3" t="s">
        <v>312</v>
      </c>
      <c r="E3" s="3" t="s">
        <v>24</v>
      </c>
      <c r="F3" s="3">
        <v>19</v>
      </c>
      <c r="G3" s="5" t="s">
        <v>51</v>
      </c>
      <c r="H3" s="5" t="s">
        <v>214</v>
      </c>
      <c r="I3" s="3">
        <v>2025</v>
      </c>
      <c r="J3" s="3">
        <v>16</v>
      </c>
      <c r="K3" s="3">
        <v>20</v>
      </c>
      <c r="L3" s="8">
        <v>21393588</v>
      </c>
      <c r="M3" s="2">
        <v>17730607</v>
      </c>
      <c r="N3" s="4">
        <f t="shared" si="0"/>
        <v>-3662981</v>
      </c>
      <c r="O3" t="s">
        <v>49</v>
      </c>
      <c r="P3" s="5">
        <v>200</v>
      </c>
      <c r="Q3" t="s">
        <v>74</v>
      </c>
      <c r="R3" t="s">
        <v>313</v>
      </c>
      <c r="T3" t="s">
        <v>314</v>
      </c>
    </row>
    <row r="4" spans="1:20" x14ac:dyDescent="0.2">
      <c r="A4" s="5" t="s">
        <v>219</v>
      </c>
      <c r="B4" s="5" t="s">
        <v>51</v>
      </c>
      <c r="C4" s="5" t="s">
        <v>214</v>
      </c>
      <c r="D4" s="3" t="s">
        <v>307</v>
      </c>
      <c r="E4" s="3" t="s">
        <v>24</v>
      </c>
      <c r="F4" s="3">
        <v>19</v>
      </c>
      <c r="G4" s="5" t="s">
        <v>51</v>
      </c>
      <c r="H4" s="5" t="s">
        <v>214</v>
      </c>
      <c r="I4" s="3">
        <v>2025</v>
      </c>
      <c r="J4" s="3" t="s">
        <v>26</v>
      </c>
      <c r="K4" s="3">
        <v>21</v>
      </c>
      <c r="L4" s="8">
        <v>0</v>
      </c>
      <c r="M4" s="8">
        <v>17220192</v>
      </c>
      <c r="N4" s="4">
        <f t="shared" si="0"/>
        <v>17220192</v>
      </c>
      <c r="O4" t="s">
        <v>27</v>
      </c>
      <c r="P4" s="5">
        <v>180</v>
      </c>
      <c r="Q4" t="s">
        <v>27</v>
      </c>
      <c r="R4" t="s">
        <v>308</v>
      </c>
      <c r="S4" t="s">
        <v>184</v>
      </c>
      <c r="T4" t="s">
        <v>185</v>
      </c>
    </row>
    <row r="5" spans="1:20" x14ac:dyDescent="0.2">
      <c r="A5" s="5" t="s">
        <v>219</v>
      </c>
      <c r="B5" s="5" t="s">
        <v>51</v>
      </c>
      <c r="C5" s="5" t="s">
        <v>214</v>
      </c>
      <c r="D5" s="3" t="s">
        <v>291</v>
      </c>
      <c r="E5" s="3" t="s">
        <v>221</v>
      </c>
      <c r="F5" s="3">
        <v>23</v>
      </c>
      <c r="G5" s="5" t="s">
        <v>51</v>
      </c>
      <c r="H5" s="5" t="s">
        <v>214</v>
      </c>
      <c r="I5" s="3">
        <v>2024</v>
      </c>
      <c r="J5" s="3" t="s">
        <v>26</v>
      </c>
      <c r="K5" s="3">
        <v>27</v>
      </c>
      <c r="L5" s="8">
        <v>0</v>
      </c>
      <c r="M5" s="8">
        <v>13076519</v>
      </c>
      <c r="N5" s="4">
        <f t="shared" si="0"/>
        <v>13076519</v>
      </c>
      <c r="O5" t="s">
        <v>49</v>
      </c>
      <c r="P5" s="5">
        <v>215</v>
      </c>
      <c r="Q5" t="s">
        <v>27</v>
      </c>
      <c r="R5" t="s">
        <v>50</v>
      </c>
      <c r="S5" t="s">
        <v>51</v>
      </c>
      <c r="T5" t="s">
        <v>31</v>
      </c>
    </row>
    <row r="6" spans="1:20" x14ac:dyDescent="0.2">
      <c r="A6" s="5" t="s">
        <v>219</v>
      </c>
      <c r="B6" s="5" t="s">
        <v>51</v>
      </c>
      <c r="C6" s="5" t="s">
        <v>214</v>
      </c>
      <c r="D6" s="3" t="s">
        <v>277</v>
      </c>
      <c r="E6" s="3" t="s">
        <v>216</v>
      </c>
      <c r="F6" s="3">
        <v>21</v>
      </c>
      <c r="G6" s="5" t="s">
        <v>51</v>
      </c>
      <c r="H6" s="5" t="s">
        <v>214</v>
      </c>
      <c r="I6" s="3">
        <v>2021</v>
      </c>
      <c r="J6" s="3">
        <v>29</v>
      </c>
      <c r="K6" s="3">
        <v>38</v>
      </c>
      <c r="L6" s="7">
        <v>10017385</v>
      </c>
      <c r="M6" s="7">
        <v>2488776</v>
      </c>
      <c r="N6" s="4">
        <f t="shared" si="0"/>
        <v>-7528609</v>
      </c>
      <c r="O6" t="s">
        <v>63</v>
      </c>
      <c r="P6" s="5">
        <v>200</v>
      </c>
      <c r="Q6" t="s">
        <v>27</v>
      </c>
      <c r="R6" t="s">
        <v>50</v>
      </c>
      <c r="S6" t="s">
        <v>51</v>
      </c>
      <c r="T6" t="s">
        <v>31</v>
      </c>
    </row>
    <row r="7" spans="1:20" x14ac:dyDescent="0.2">
      <c r="A7" s="5" t="s">
        <v>219</v>
      </c>
      <c r="B7" s="5" t="s">
        <v>51</v>
      </c>
      <c r="C7" s="5" t="s">
        <v>214</v>
      </c>
      <c r="D7" s="3" t="s">
        <v>220</v>
      </c>
      <c r="E7" s="3" t="s">
        <v>221</v>
      </c>
      <c r="F7" s="3">
        <v>26</v>
      </c>
      <c r="G7" s="5" t="s">
        <v>51</v>
      </c>
      <c r="H7" s="5" t="s">
        <v>214</v>
      </c>
      <c r="I7" s="3">
        <v>2023</v>
      </c>
      <c r="J7" s="3">
        <v>39</v>
      </c>
      <c r="K7" s="3" t="s">
        <v>26</v>
      </c>
      <c r="L7" s="8">
        <v>560000</v>
      </c>
      <c r="M7" s="8">
        <v>0</v>
      </c>
      <c r="N7" s="4">
        <f t="shared" si="0"/>
        <v>-560000</v>
      </c>
      <c r="O7" t="s">
        <v>40</v>
      </c>
      <c r="P7" s="5">
        <v>225</v>
      </c>
      <c r="Q7" t="s">
        <v>28</v>
      </c>
      <c r="R7" t="s">
        <v>222</v>
      </c>
      <c r="S7" t="s">
        <v>82</v>
      </c>
      <c r="T7" t="s">
        <v>31</v>
      </c>
    </row>
    <row r="8" spans="1:20" x14ac:dyDescent="0.2">
      <c r="A8" s="5" t="s">
        <v>232</v>
      </c>
      <c r="B8" s="5" t="s">
        <v>151</v>
      </c>
      <c r="C8" s="5" t="s">
        <v>214</v>
      </c>
      <c r="D8" s="5" t="s">
        <v>204</v>
      </c>
      <c r="E8" s="5" t="s">
        <v>204</v>
      </c>
      <c r="F8" s="5" t="s">
        <v>204</v>
      </c>
      <c r="G8" s="5" t="s">
        <v>204</v>
      </c>
      <c r="H8" s="5" t="s">
        <v>204</v>
      </c>
      <c r="I8" s="5" t="s">
        <v>204</v>
      </c>
      <c r="J8" s="5" t="s">
        <v>204</v>
      </c>
      <c r="K8" s="5" t="s">
        <v>204</v>
      </c>
      <c r="L8" s="4"/>
      <c r="M8" s="4"/>
      <c r="N8" s="4">
        <f t="shared" si="0"/>
        <v>0</v>
      </c>
    </row>
    <row r="9" spans="1:20" x14ac:dyDescent="0.2">
      <c r="A9" s="5" t="s">
        <v>232</v>
      </c>
      <c r="B9" s="5" t="s">
        <v>151</v>
      </c>
      <c r="C9" s="5" t="s">
        <v>214</v>
      </c>
      <c r="D9" s="5" t="s">
        <v>204</v>
      </c>
      <c r="E9" s="5" t="s">
        <v>204</v>
      </c>
      <c r="F9" s="5" t="s">
        <v>204</v>
      </c>
      <c r="G9" s="5" t="s">
        <v>204</v>
      </c>
      <c r="H9" s="5" t="s">
        <v>204</v>
      </c>
      <c r="I9" s="5" t="s">
        <v>204</v>
      </c>
      <c r="J9" s="5" t="s">
        <v>204</v>
      </c>
      <c r="K9" s="5" t="s">
        <v>204</v>
      </c>
      <c r="L9" s="4"/>
      <c r="M9" s="4"/>
      <c r="N9" s="4">
        <f t="shared" si="0"/>
        <v>0</v>
      </c>
    </row>
    <row r="10" spans="1:20" x14ac:dyDescent="0.2">
      <c r="A10" s="46" t="s">
        <v>264</v>
      </c>
      <c r="B10" s="46" t="s">
        <v>265</v>
      </c>
      <c r="C10" s="46" t="s">
        <v>214</v>
      </c>
      <c r="D10" s="46" t="s">
        <v>266</v>
      </c>
      <c r="E10" s="46" t="s">
        <v>267</v>
      </c>
      <c r="F10" s="46">
        <v>23</v>
      </c>
      <c r="G10" s="46" t="s">
        <v>265</v>
      </c>
      <c r="H10" s="46" t="s">
        <v>214</v>
      </c>
      <c r="I10" s="46">
        <v>2025</v>
      </c>
      <c r="J10" s="46" t="s">
        <v>26</v>
      </c>
      <c r="K10" s="46">
        <v>44</v>
      </c>
      <c r="L10" s="59">
        <v>0</v>
      </c>
      <c r="M10" s="59">
        <v>560000</v>
      </c>
      <c r="N10" s="59">
        <f t="shared" si="0"/>
        <v>560000</v>
      </c>
      <c r="O10" s="35" t="s">
        <v>49</v>
      </c>
      <c r="P10" s="46">
        <v>230</v>
      </c>
      <c r="Q10" s="35" t="s">
        <v>59</v>
      </c>
      <c r="R10" s="35" t="s">
        <v>268</v>
      </c>
      <c r="S10" s="35" t="s">
        <v>218</v>
      </c>
      <c r="T10" s="35" t="s">
        <v>31</v>
      </c>
    </row>
    <row r="11" spans="1:20" x14ac:dyDescent="0.2">
      <c r="A11" s="5" t="s">
        <v>223</v>
      </c>
      <c r="B11" s="5" t="s">
        <v>224</v>
      </c>
      <c r="C11" s="5" t="s">
        <v>214</v>
      </c>
      <c r="D11" s="5" t="s">
        <v>319</v>
      </c>
      <c r="E11" s="5" t="s">
        <v>267</v>
      </c>
      <c r="F11" s="5">
        <v>23</v>
      </c>
      <c r="G11" s="5" t="s">
        <v>224</v>
      </c>
      <c r="H11" s="5" t="s">
        <v>214</v>
      </c>
      <c r="I11" s="5">
        <v>2021</v>
      </c>
      <c r="J11" s="5" t="s">
        <v>26</v>
      </c>
      <c r="K11" s="5">
        <v>12</v>
      </c>
      <c r="L11" s="8">
        <v>0</v>
      </c>
      <c r="M11" s="8">
        <v>17704528</v>
      </c>
      <c r="N11" s="4">
        <f t="shared" si="0"/>
        <v>17704528</v>
      </c>
      <c r="O11" t="s">
        <v>49</v>
      </c>
      <c r="P11" s="5">
        <v>190</v>
      </c>
      <c r="Q11" t="s">
        <v>74</v>
      </c>
      <c r="R11" t="s">
        <v>320</v>
      </c>
      <c r="T11" t="s">
        <v>321</v>
      </c>
    </row>
    <row r="12" spans="1:20" x14ac:dyDescent="0.2">
      <c r="A12" s="5" t="s">
        <v>223</v>
      </c>
      <c r="B12" s="5" t="s">
        <v>224</v>
      </c>
      <c r="C12" s="5" t="s">
        <v>214</v>
      </c>
      <c r="D12" s="5" t="s">
        <v>297</v>
      </c>
      <c r="E12" s="5" t="s">
        <v>39</v>
      </c>
      <c r="F12" s="5">
        <v>23</v>
      </c>
      <c r="G12" s="5" t="s">
        <v>224</v>
      </c>
      <c r="H12" s="5" t="s">
        <v>214</v>
      </c>
      <c r="I12" s="5">
        <v>2020</v>
      </c>
      <c r="J12" s="5" t="s">
        <v>26</v>
      </c>
      <c r="K12" s="5">
        <v>26</v>
      </c>
      <c r="L12" s="8">
        <v>0</v>
      </c>
      <c r="M12" s="8">
        <v>10449718</v>
      </c>
      <c r="N12" s="4">
        <f t="shared" si="0"/>
        <v>10449718</v>
      </c>
      <c r="O12" t="s">
        <v>79</v>
      </c>
      <c r="P12" s="5">
        <v>195</v>
      </c>
      <c r="Q12" t="s">
        <v>63</v>
      </c>
      <c r="R12" t="s">
        <v>298</v>
      </c>
      <c r="S12" t="s">
        <v>224</v>
      </c>
      <c r="T12" t="s">
        <v>31</v>
      </c>
    </row>
    <row r="13" spans="1:20" s="35" customFormat="1" x14ac:dyDescent="0.2">
      <c r="A13" s="5" t="s">
        <v>223</v>
      </c>
      <c r="B13" s="5" t="s">
        <v>224</v>
      </c>
      <c r="C13" s="5" t="s">
        <v>214</v>
      </c>
      <c r="D13" s="5" t="s">
        <v>225</v>
      </c>
      <c r="E13" s="5" t="s">
        <v>221</v>
      </c>
      <c r="F13" s="5">
        <v>23</v>
      </c>
      <c r="G13" s="5" t="s">
        <v>224</v>
      </c>
      <c r="H13" s="5" t="s">
        <v>214</v>
      </c>
      <c r="I13" s="5">
        <v>2023</v>
      </c>
      <c r="J13" s="5">
        <v>58</v>
      </c>
      <c r="K13" s="5" t="s">
        <v>26</v>
      </c>
      <c r="L13" s="8">
        <v>560000</v>
      </c>
      <c r="M13" s="8">
        <v>0</v>
      </c>
      <c r="N13" s="4">
        <f t="shared" si="0"/>
        <v>-560000</v>
      </c>
      <c r="O13" t="s">
        <v>63</v>
      </c>
      <c r="P13" s="5">
        <v>170</v>
      </c>
      <c r="Q13" t="s">
        <v>40</v>
      </c>
      <c r="R13" t="s">
        <v>226</v>
      </c>
      <c r="S13" t="s">
        <v>47</v>
      </c>
      <c r="T13" t="s">
        <v>31</v>
      </c>
    </row>
    <row r="14" spans="1:20" s="35" customFormat="1" x14ac:dyDescent="0.2">
      <c r="A14" s="5" t="s">
        <v>233</v>
      </c>
      <c r="B14" s="5" t="s">
        <v>234</v>
      </c>
      <c r="C14" s="5" t="s">
        <v>214</v>
      </c>
      <c r="D14" s="5" t="s">
        <v>204</v>
      </c>
      <c r="E14" s="5" t="s">
        <v>204</v>
      </c>
      <c r="F14" s="5" t="s">
        <v>204</v>
      </c>
      <c r="G14" s="5" t="s">
        <v>204</v>
      </c>
      <c r="H14" s="5" t="s">
        <v>204</v>
      </c>
      <c r="I14" s="5" t="s">
        <v>204</v>
      </c>
      <c r="J14" s="5" t="s">
        <v>204</v>
      </c>
      <c r="K14" s="5" t="s">
        <v>204</v>
      </c>
      <c r="L14" s="4"/>
      <c r="M14" s="4"/>
      <c r="N14" s="4">
        <f t="shared" si="0"/>
        <v>0</v>
      </c>
      <c r="O14"/>
      <c r="P14" s="5"/>
      <c r="Q14"/>
      <c r="R14"/>
      <c r="S14"/>
      <c r="T14"/>
    </row>
    <row r="15" spans="1:20" s="41" customFormat="1" x14ac:dyDescent="0.2">
      <c r="A15" s="46" t="s">
        <v>252</v>
      </c>
      <c r="B15" s="46" t="s">
        <v>218</v>
      </c>
      <c r="C15" s="46" t="s">
        <v>214</v>
      </c>
      <c r="D15" s="46" t="s">
        <v>253</v>
      </c>
      <c r="E15" s="46" t="s">
        <v>39</v>
      </c>
      <c r="F15" s="46">
        <v>22</v>
      </c>
      <c r="G15" s="46" t="s">
        <v>254</v>
      </c>
      <c r="H15" s="46" t="s">
        <v>104</v>
      </c>
      <c r="I15" s="46">
        <v>2025</v>
      </c>
      <c r="J15" s="46" t="s">
        <v>26</v>
      </c>
      <c r="K15" s="46">
        <v>48</v>
      </c>
      <c r="L15" s="59">
        <v>0</v>
      </c>
      <c r="M15" s="59">
        <v>560000</v>
      </c>
      <c r="N15" s="59">
        <f t="shared" si="0"/>
        <v>560000</v>
      </c>
      <c r="O15" s="35" t="s">
        <v>86</v>
      </c>
      <c r="P15" s="46">
        <v>190</v>
      </c>
      <c r="Q15" s="35" t="s">
        <v>63</v>
      </c>
      <c r="R15" s="35" t="s">
        <v>255</v>
      </c>
      <c r="S15" s="35" t="s">
        <v>218</v>
      </c>
      <c r="T15" s="35" t="s">
        <v>31</v>
      </c>
    </row>
    <row r="16" spans="1:20" s="35" customFormat="1" x14ac:dyDescent="0.2">
      <c r="A16" s="5" t="s">
        <v>292</v>
      </c>
      <c r="B16" s="5" t="s">
        <v>159</v>
      </c>
      <c r="C16" s="5" t="s">
        <v>214</v>
      </c>
      <c r="D16" s="5" t="s">
        <v>293</v>
      </c>
      <c r="E16" s="5" t="s">
        <v>216</v>
      </c>
      <c r="F16" s="5">
        <v>21</v>
      </c>
      <c r="G16" s="5" t="s">
        <v>294</v>
      </c>
      <c r="H16" s="5" t="s">
        <v>214</v>
      </c>
      <c r="I16" s="5">
        <v>2025</v>
      </c>
      <c r="J16" s="5" t="s">
        <v>26</v>
      </c>
      <c r="K16" s="5">
        <v>27</v>
      </c>
      <c r="L16" s="4">
        <v>0</v>
      </c>
      <c r="M16" s="4">
        <v>14384200</v>
      </c>
      <c r="N16" s="4">
        <f t="shared" si="0"/>
        <v>14384200</v>
      </c>
      <c r="O16" t="s">
        <v>36</v>
      </c>
      <c r="P16" s="5">
        <v>250</v>
      </c>
      <c r="Q16" t="s">
        <v>108</v>
      </c>
      <c r="R16" t="s">
        <v>295</v>
      </c>
      <c r="S16" t="s">
        <v>51</v>
      </c>
      <c r="T16" t="s">
        <v>31</v>
      </c>
    </row>
    <row r="17" spans="1:20" s="35" customFormat="1" x14ac:dyDescent="0.2">
      <c r="A17" s="5" t="s">
        <v>248</v>
      </c>
      <c r="B17" s="5" t="s">
        <v>249</v>
      </c>
      <c r="C17" s="5" t="s">
        <v>214</v>
      </c>
      <c r="D17" s="5" t="s">
        <v>328</v>
      </c>
      <c r="E17" s="5" t="s">
        <v>24</v>
      </c>
      <c r="F17" s="5">
        <v>19</v>
      </c>
      <c r="G17" s="5" t="s">
        <v>21</v>
      </c>
      <c r="H17" s="5" t="s">
        <v>22</v>
      </c>
      <c r="I17" s="5">
        <v>2023</v>
      </c>
      <c r="J17" s="5">
        <v>12</v>
      </c>
      <c r="K17" s="5">
        <v>6</v>
      </c>
      <c r="L17" s="4">
        <v>22282691</v>
      </c>
      <c r="M17" s="4">
        <v>32929836</v>
      </c>
      <c r="N17" s="4">
        <f t="shared" si="0"/>
        <v>10647145</v>
      </c>
      <c r="O17" t="s">
        <v>74</v>
      </c>
      <c r="P17" s="5">
        <v>210</v>
      </c>
      <c r="Q17" t="s">
        <v>74</v>
      </c>
      <c r="R17" t="s">
        <v>329</v>
      </c>
      <c r="S17" t="s">
        <v>82</v>
      </c>
      <c r="T17" t="s">
        <v>31</v>
      </c>
    </row>
    <row r="18" spans="1:20" s="35" customFormat="1" x14ac:dyDescent="0.2">
      <c r="A18" s="5" t="s">
        <v>248</v>
      </c>
      <c r="B18" s="5" t="s">
        <v>249</v>
      </c>
      <c r="C18" s="5" t="s">
        <v>214</v>
      </c>
      <c r="D18" s="5" t="s">
        <v>317</v>
      </c>
      <c r="E18" s="5" t="s">
        <v>24</v>
      </c>
      <c r="F18" s="5">
        <v>19</v>
      </c>
      <c r="G18" s="5" t="s">
        <v>21</v>
      </c>
      <c r="H18" s="5" t="s">
        <v>22</v>
      </c>
      <c r="I18" s="5">
        <v>2021</v>
      </c>
      <c r="J18" s="5">
        <v>33</v>
      </c>
      <c r="K18" s="5">
        <v>14</v>
      </c>
      <c r="L18" s="4">
        <v>560000</v>
      </c>
      <c r="M18" s="4">
        <v>17024109</v>
      </c>
      <c r="N18" s="4">
        <f t="shared" si="0"/>
        <v>16464109</v>
      </c>
      <c r="O18" t="s">
        <v>49</v>
      </c>
      <c r="P18" s="5">
        <v>210</v>
      </c>
      <c r="Q18" t="s">
        <v>36</v>
      </c>
      <c r="R18" t="s">
        <v>318</v>
      </c>
      <c r="S18" t="s">
        <v>21</v>
      </c>
      <c r="T18" t="s">
        <v>31</v>
      </c>
    </row>
    <row r="19" spans="1:20" s="35" customFormat="1" x14ac:dyDescent="0.2">
      <c r="A19" s="5" t="s">
        <v>248</v>
      </c>
      <c r="B19" s="5" t="s">
        <v>249</v>
      </c>
      <c r="C19" s="5" t="s">
        <v>214</v>
      </c>
      <c r="D19" s="5" t="s">
        <v>296</v>
      </c>
      <c r="E19" s="5" t="s">
        <v>24</v>
      </c>
      <c r="F19" s="5">
        <v>19</v>
      </c>
      <c r="G19" s="5" t="s">
        <v>21</v>
      </c>
      <c r="H19" s="5" t="s">
        <v>22</v>
      </c>
      <c r="I19" s="5">
        <v>2023</v>
      </c>
      <c r="J19" s="5">
        <v>3</v>
      </c>
      <c r="K19" s="5">
        <v>27</v>
      </c>
      <c r="L19" s="4">
        <v>44363603</v>
      </c>
      <c r="M19" s="4">
        <v>12651907</v>
      </c>
      <c r="N19" s="4">
        <f t="shared" si="0"/>
        <v>-31711696</v>
      </c>
      <c r="O19" t="s">
        <v>63</v>
      </c>
      <c r="P19" s="5">
        <v>185</v>
      </c>
      <c r="Q19" t="s">
        <v>27</v>
      </c>
      <c r="R19" t="s">
        <v>37</v>
      </c>
      <c r="S19" t="s">
        <v>21</v>
      </c>
      <c r="T19" t="s">
        <v>31</v>
      </c>
    </row>
    <row r="20" spans="1:20" x14ac:dyDescent="0.2">
      <c r="A20" s="57" t="s">
        <v>248</v>
      </c>
      <c r="B20" s="57" t="s">
        <v>249</v>
      </c>
      <c r="C20" s="57" t="s">
        <v>214</v>
      </c>
      <c r="D20" s="57" t="s">
        <v>284</v>
      </c>
      <c r="E20" s="57" t="s">
        <v>35</v>
      </c>
      <c r="F20" s="57">
        <v>20</v>
      </c>
      <c r="G20" s="57" t="s">
        <v>21</v>
      </c>
      <c r="H20" s="57" t="s">
        <v>22</v>
      </c>
      <c r="I20" s="57">
        <v>2022</v>
      </c>
      <c r="J20" s="57" t="s">
        <v>26</v>
      </c>
      <c r="K20" s="57">
        <v>34</v>
      </c>
      <c r="L20" s="58">
        <v>0</v>
      </c>
      <c r="M20" s="58">
        <v>4000000</v>
      </c>
      <c r="N20" s="58">
        <f t="shared" si="0"/>
        <v>4000000</v>
      </c>
      <c r="O20" s="41" t="s">
        <v>28</v>
      </c>
      <c r="P20" s="57">
        <v>235</v>
      </c>
      <c r="Q20" s="41" t="s">
        <v>36</v>
      </c>
      <c r="R20" s="41" t="s">
        <v>285</v>
      </c>
      <c r="S20" s="41" t="s">
        <v>21</v>
      </c>
      <c r="T20" s="41" t="s">
        <v>31</v>
      </c>
    </row>
    <row r="21" spans="1:20" s="41" customFormat="1" x14ac:dyDescent="0.2">
      <c r="A21" s="57" t="s">
        <v>248</v>
      </c>
      <c r="B21" s="57" t="s">
        <v>249</v>
      </c>
      <c r="C21" s="57" t="s">
        <v>214</v>
      </c>
      <c r="D21" s="57" t="s">
        <v>278</v>
      </c>
      <c r="E21" s="57" t="s">
        <v>24</v>
      </c>
      <c r="F21" s="57">
        <v>19</v>
      </c>
      <c r="G21" s="57" t="s">
        <v>21</v>
      </c>
      <c r="H21" s="57" t="s">
        <v>22</v>
      </c>
      <c r="I21" s="57">
        <v>2023</v>
      </c>
      <c r="J21" s="57">
        <v>21</v>
      </c>
      <c r="K21" s="57">
        <v>38</v>
      </c>
      <c r="L21" s="58">
        <v>15146274</v>
      </c>
      <c r="M21" s="58">
        <v>3211420</v>
      </c>
      <c r="N21" s="58">
        <f t="shared" si="0"/>
        <v>-11934854</v>
      </c>
      <c r="O21" s="41" t="s">
        <v>74</v>
      </c>
      <c r="P21" s="57">
        <v>205</v>
      </c>
      <c r="Q21" s="41" t="s">
        <v>108</v>
      </c>
      <c r="R21" s="41" t="s">
        <v>279</v>
      </c>
      <c r="S21" s="41" t="s">
        <v>82</v>
      </c>
      <c r="T21" s="41" t="s">
        <v>31</v>
      </c>
    </row>
    <row r="22" spans="1:20" x14ac:dyDescent="0.2">
      <c r="A22" s="57" t="s">
        <v>248</v>
      </c>
      <c r="B22" s="57" t="s">
        <v>249</v>
      </c>
      <c r="C22" s="57" t="s">
        <v>214</v>
      </c>
      <c r="D22" s="57" t="s">
        <v>250</v>
      </c>
      <c r="E22" s="57" t="s">
        <v>35</v>
      </c>
      <c r="F22" s="57">
        <v>20</v>
      </c>
      <c r="G22" s="57" t="s">
        <v>21</v>
      </c>
      <c r="H22" s="57" t="s">
        <v>22</v>
      </c>
      <c r="I22" s="57">
        <v>2020</v>
      </c>
      <c r="J22" s="57">
        <v>37</v>
      </c>
      <c r="K22" s="57">
        <v>49</v>
      </c>
      <c r="L22" s="58">
        <v>560000</v>
      </c>
      <c r="M22" s="58">
        <v>2416291</v>
      </c>
      <c r="N22" s="58">
        <f t="shared" si="0"/>
        <v>1856291</v>
      </c>
      <c r="O22" s="41" t="s">
        <v>55</v>
      </c>
      <c r="P22" s="57">
        <v>170</v>
      </c>
      <c r="Q22" s="41" t="s">
        <v>74</v>
      </c>
      <c r="R22" s="41" t="s">
        <v>251</v>
      </c>
      <c r="S22" s="41" t="s">
        <v>21</v>
      </c>
      <c r="T22" s="41" t="s">
        <v>31</v>
      </c>
    </row>
    <row r="23" spans="1:20" x14ac:dyDescent="0.2">
      <c r="A23" s="5" t="s">
        <v>261</v>
      </c>
      <c r="B23" s="5" t="s">
        <v>245</v>
      </c>
      <c r="C23" s="5" t="s">
        <v>214</v>
      </c>
      <c r="D23" s="5" t="s">
        <v>275</v>
      </c>
      <c r="E23" s="5" t="s">
        <v>24</v>
      </c>
      <c r="F23" s="5">
        <v>20</v>
      </c>
      <c r="G23" s="5" t="s">
        <v>245</v>
      </c>
      <c r="H23" s="5" t="s">
        <v>214</v>
      </c>
      <c r="I23" s="5">
        <v>2022</v>
      </c>
      <c r="J23" s="5">
        <v>20</v>
      </c>
      <c r="K23" s="5">
        <v>40</v>
      </c>
      <c r="L23" s="8">
        <v>14177433</v>
      </c>
      <c r="M23" s="8">
        <v>560000</v>
      </c>
      <c r="N23" s="4">
        <f t="shared" si="0"/>
        <v>-13617433</v>
      </c>
      <c r="O23" t="s">
        <v>49</v>
      </c>
      <c r="P23" s="5">
        <v>190</v>
      </c>
      <c r="Q23" t="s">
        <v>27</v>
      </c>
      <c r="R23" t="s">
        <v>276</v>
      </c>
      <c r="S23" t="s">
        <v>97</v>
      </c>
      <c r="T23" t="s">
        <v>31</v>
      </c>
    </row>
    <row r="24" spans="1:20" s="41" customFormat="1" x14ac:dyDescent="0.2">
      <c r="A24" s="46" t="s">
        <v>261</v>
      </c>
      <c r="B24" s="46" t="s">
        <v>245</v>
      </c>
      <c r="C24" s="46" t="s">
        <v>214</v>
      </c>
      <c r="D24" s="46" t="s">
        <v>258</v>
      </c>
      <c r="E24" s="46" t="s">
        <v>262</v>
      </c>
      <c r="F24" s="46">
        <v>21</v>
      </c>
      <c r="G24" s="46" t="s">
        <v>245</v>
      </c>
      <c r="H24" s="46" t="s">
        <v>214</v>
      </c>
      <c r="I24" s="46">
        <v>2021</v>
      </c>
      <c r="J24" s="46" t="s">
        <v>26</v>
      </c>
      <c r="K24" s="46">
        <v>46</v>
      </c>
      <c r="L24" s="47">
        <v>0</v>
      </c>
      <c r="M24" s="47">
        <v>1075258</v>
      </c>
      <c r="N24" s="59">
        <f t="shared" si="0"/>
        <v>1075258</v>
      </c>
      <c r="O24" s="35" t="s">
        <v>27</v>
      </c>
      <c r="P24" s="46">
        <v>203</v>
      </c>
      <c r="Q24" s="35" t="s">
        <v>28</v>
      </c>
      <c r="R24" s="35" t="s">
        <v>263</v>
      </c>
      <c r="S24" s="35" t="s">
        <v>184</v>
      </c>
      <c r="T24" s="35" t="s">
        <v>185</v>
      </c>
    </row>
    <row r="25" spans="1:20" x14ac:dyDescent="0.2">
      <c r="A25" s="5" t="s">
        <v>241</v>
      </c>
      <c r="B25" s="5" t="s">
        <v>242</v>
      </c>
      <c r="C25" s="5" t="s">
        <v>214</v>
      </c>
      <c r="D25" s="5" t="s">
        <v>322</v>
      </c>
      <c r="E25" s="5" t="s">
        <v>35</v>
      </c>
      <c r="F25" s="5">
        <v>20</v>
      </c>
      <c r="G25" s="5" t="s">
        <v>242</v>
      </c>
      <c r="H25" s="5" t="s">
        <v>214</v>
      </c>
      <c r="I25" s="5">
        <v>2022</v>
      </c>
      <c r="J25" s="5" t="s">
        <v>26</v>
      </c>
      <c r="K25" s="5">
        <v>10</v>
      </c>
      <c r="L25" s="8">
        <v>0</v>
      </c>
      <c r="M25" s="8">
        <v>21898509</v>
      </c>
      <c r="N25" s="4">
        <f t="shared" si="0"/>
        <v>21898509</v>
      </c>
      <c r="O25" t="s">
        <v>55</v>
      </c>
      <c r="P25" s="5">
        <v>195</v>
      </c>
      <c r="Q25" t="s">
        <v>27</v>
      </c>
      <c r="R25" t="s">
        <v>323</v>
      </c>
      <c r="S25" t="s">
        <v>242</v>
      </c>
      <c r="T25" t="s">
        <v>31</v>
      </c>
    </row>
    <row r="26" spans="1:20" x14ac:dyDescent="0.2">
      <c r="A26" s="46" t="s">
        <v>241</v>
      </c>
      <c r="B26" s="46" t="s">
        <v>242</v>
      </c>
      <c r="C26" s="46" t="s">
        <v>214</v>
      </c>
      <c r="D26" s="46" t="s">
        <v>243</v>
      </c>
      <c r="E26" s="46" t="s">
        <v>39</v>
      </c>
      <c r="F26" s="46">
        <v>24</v>
      </c>
      <c r="G26" s="46" t="s">
        <v>242</v>
      </c>
      <c r="H26" s="46" t="s">
        <v>214</v>
      </c>
      <c r="I26" s="46">
        <v>2025</v>
      </c>
      <c r="J26" s="46" t="s">
        <v>26</v>
      </c>
      <c r="K26" s="46">
        <v>53</v>
      </c>
      <c r="L26" s="47">
        <v>0</v>
      </c>
      <c r="M26" s="47"/>
      <c r="N26" s="59">
        <f t="shared" si="0"/>
        <v>0</v>
      </c>
      <c r="O26" s="35" t="s">
        <v>63</v>
      </c>
      <c r="P26" s="46">
        <v>218</v>
      </c>
      <c r="Q26" s="35" t="s">
        <v>40</v>
      </c>
      <c r="R26" s="35" t="s">
        <v>244</v>
      </c>
      <c r="S26" s="35" t="s">
        <v>245</v>
      </c>
      <c r="T26" s="35" t="s">
        <v>31</v>
      </c>
    </row>
    <row r="27" spans="1:20" s="41" customFormat="1" x14ac:dyDescent="0.2">
      <c r="A27" s="5" t="s">
        <v>235</v>
      </c>
      <c r="B27" s="5" t="s">
        <v>236</v>
      </c>
      <c r="C27" s="5" t="s">
        <v>214</v>
      </c>
      <c r="D27" s="5" t="s">
        <v>204</v>
      </c>
      <c r="E27" s="5" t="s">
        <v>204</v>
      </c>
      <c r="F27" s="5" t="s">
        <v>204</v>
      </c>
      <c r="G27" s="5" t="s">
        <v>204</v>
      </c>
      <c r="H27" s="5" t="s">
        <v>204</v>
      </c>
      <c r="I27" s="5" t="s">
        <v>204</v>
      </c>
      <c r="J27" s="5" t="s">
        <v>204</v>
      </c>
      <c r="K27" s="5" t="s">
        <v>204</v>
      </c>
      <c r="L27" s="4"/>
      <c r="M27" s="4"/>
      <c r="N27" s="4">
        <f t="shared" si="0"/>
        <v>0</v>
      </c>
      <c r="O27"/>
      <c r="P27" s="5"/>
      <c r="Q27"/>
      <c r="R27"/>
      <c r="S27"/>
      <c r="T27"/>
    </row>
    <row r="28" spans="1:20" x14ac:dyDescent="0.2">
      <c r="A28" s="5" t="s">
        <v>324</v>
      </c>
      <c r="B28" s="5" t="s">
        <v>325</v>
      </c>
      <c r="C28" s="5" t="s">
        <v>214</v>
      </c>
      <c r="D28" s="3" t="s">
        <v>330</v>
      </c>
      <c r="E28" s="3" t="s">
        <v>24</v>
      </c>
      <c r="F28" s="3">
        <v>20</v>
      </c>
      <c r="G28" s="5" t="s">
        <v>325</v>
      </c>
      <c r="H28" s="5" t="s">
        <v>331</v>
      </c>
      <c r="I28" s="3">
        <v>2022</v>
      </c>
      <c r="J28" s="3">
        <v>9</v>
      </c>
      <c r="K28" s="3">
        <v>5</v>
      </c>
      <c r="L28" s="8">
        <v>23046751</v>
      </c>
      <c r="M28" s="8">
        <v>32951083</v>
      </c>
      <c r="N28" s="4">
        <f t="shared" si="0"/>
        <v>9904332</v>
      </c>
      <c r="O28" t="s">
        <v>55</v>
      </c>
      <c r="P28" s="5">
        <v>195</v>
      </c>
      <c r="Q28" t="s">
        <v>40</v>
      </c>
      <c r="R28" t="s">
        <v>255</v>
      </c>
      <c r="S28" t="s">
        <v>218</v>
      </c>
      <c r="T28" t="s">
        <v>31</v>
      </c>
    </row>
    <row r="29" spans="1:20" x14ac:dyDescent="0.2">
      <c r="A29" s="5" t="s">
        <v>324</v>
      </c>
      <c r="B29" s="5" t="s">
        <v>325</v>
      </c>
      <c r="C29" s="5" t="s">
        <v>214</v>
      </c>
      <c r="D29" s="3" t="s">
        <v>326</v>
      </c>
      <c r="E29" s="3" t="s">
        <v>39</v>
      </c>
      <c r="F29" s="3">
        <v>22</v>
      </c>
      <c r="G29" s="5" t="s">
        <v>325</v>
      </c>
      <c r="H29" s="5" t="s">
        <v>214</v>
      </c>
      <c r="I29" s="3">
        <v>2024</v>
      </c>
      <c r="J29" s="3">
        <v>16</v>
      </c>
      <c r="K29" s="3">
        <v>9</v>
      </c>
      <c r="L29" s="8">
        <v>19448588</v>
      </c>
      <c r="M29" s="8">
        <v>26202577</v>
      </c>
      <c r="N29" s="4">
        <f t="shared" si="0"/>
        <v>6753989</v>
      </c>
      <c r="O29" t="s">
        <v>155</v>
      </c>
      <c r="P29" s="5">
        <v>305</v>
      </c>
      <c r="Q29" t="s">
        <v>327</v>
      </c>
      <c r="R29" t="s">
        <v>263</v>
      </c>
      <c r="S29" t="s">
        <v>184</v>
      </c>
      <c r="T29" t="s">
        <v>185</v>
      </c>
    </row>
    <row r="30" spans="1:20" x14ac:dyDescent="0.2">
      <c r="A30" s="5" t="s">
        <v>227</v>
      </c>
      <c r="B30" s="5" t="s">
        <v>228</v>
      </c>
      <c r="C30" s="5" t="s">
        <v>214</v>
      </c>
      <c r="D30" s="5" t="s">
        <v>315</v>
      </c>
      <c r="E30" s="5" t="s">
        <v>39</v>
      </c>
      <c r="F30" s="5">
        <v>22</v>
      </c>
      <c r="G30" s="5" t="s">
        <v>228</v>
      </c>
      <c r="H30" s="5" t="s">
        <v>214</v>
      </c>
      <c r="I30" s="5">
        <v>2023</v>
      </c>
      <c r="J30" s="5">
        <v>36</v>
      </c>
      <c r="K30" s="5">
        <v>18</v>
      </c>
      <c r="L30" s="8">
        <v>560000</v>
      </c>
      <c r="M30" s="8">
        <v>16997141</v>
      </c>
      <c r="N30" s="4">
        <f t="shared" si="0"/>
        <v>16437141</v>
      </c>
      <c r="O30" t="s">
        <v>49</v>
      </c>
      <c r="P30" s="5">
        <v>225</v>
      </c>
      <c r="Q30" t="s">
        <v>59</v>
      </c>
      <c r="R30" t="s">
        <v>316</v>
      </c>
      <c r="S30" t="s">
        <v>57</v>
      </c>
      <c r="T30" t="s">
        <v>31</v>
      </c>
    </row>
    <row r="31" spans="1:20" x14ac:dyDescent="0.2">
      <c r="A31" s="5" t="s">
        <v>227</v>
      </c>
      <c r="B31" s="5" t="s">
        <v>228</v>
      </c>
      <c r="C31" s="5" t="s">
        <v>214</v>
      </c>
      <c r="D31" s="5" t="s">
        <v>286</v>
      </c>
      <c r="E31" s="5" t="s">
        <v>24</v>
      </c>
      <c r="F31" s="5">
        <v>19</v>
      </c>
      <c r="G31" s="5" t="s">
        <v>228</v>
      </c>
      <c r="H31" s="5" t="s">
        <v>214</v>
      </c>
      <c r="I31" s="5">
        <v>2022</v>
      </c>
      <c r="J31" s="5">
        <v>8</v>
      </c>
      <c r="K31" s="5">
        <v>30</v>
      </c>
      <c r="L31" s="8">
        <v>25059949</v>
      </c>
      <c r="M31" s="8">
        <v>11267516</v>
      </c>
      <c r="N31" s="4">
        <f t="shared" si="0"/>
        <v>-13792433</v>
      </c>
      <c r="O31" t="s">
        <v>74</v>
      </c>
      <c r="P31" s="5">
        <v>200</v>
      </c>
      <c r="Q31" t="s">
        <v>36</v>
      </c>
      <c r="R31" t="s">
        <v>287</v>
      </c>
      <c r="S31" t="s">
        <v>57</v>
      </c>
      <c r="T31" t="s">
        <v>31</v>
      </c>
    </row>
    <row r="32" spans="1:20" x14ac:dyDescent="0.2">
      <c r="A32" s="57" t="s">
        <v>227</v>
      </c>
      <c r="B32" s="57" t="s">
        <v>228</v>
      </c>
      <c r="C32" s="57" t="s">
        <v>214</v>
      </c>
      <c r="D32" s="57" t="s">
        <v>272</v>
      </c>
      <c r="E32" s="57" t="s">
        <v>35</v>
      </c>
      <c r="F32" s="57">
        <v>20</v>
      </c>
      <c r="G32" s="57" t="s">
        <v>228</v>
      </c>
      <c r="H32" s="57" t="s">
        <v>214</v>
      </c>
      <c r="I32" s="57">
        <v>2024</v>
      </c>
      <c r="J32" s="57">
        <v>32</v>
      </c>
      <c r="K32" s="57">
        <v>41</v>
      </c>
      <c r="L32" s="60">
        <v>560000</v>
      </c>
      <c r="M32" s="60">
        <v>2134842</v>
      </c>
      <c r="N32" s="58">
        <f t="shared" si="0"/>
        <v>1574842</v>
      </c>
      <c r="O32" s="41" t="s">
        <v>28</v>
      </c>
      <c r="P32" s="57">
        <v>235</v>
      </c>
      <c r="Q32" s="41" t="s">
        <v>41</v>
      </c>
      <c r="R32" s="41" t="s">
        <v>273</v>
      </c>
      <c r="S32" s="41"/>
      <c r="T32" s="41" t="s">
        <v>274</v>
      </c>
    </row>
    <row r="33" spans="1:20" x14ac:dyDescent="0.2">
      <c r="A33" s="5" t="s">
        <v>227</v>
      </c>
      <c r="B33" s="5" t="s">
        <v>228</v>
      </c>
      <c r="C33" s="5" t="s">
        <v>214</v>
      </c>
      <c r="D33" s="5" t="s">
        <v>269</v>
      </c>
      <c r="E33" s="5" t="s">
        <v>24</v>
      </c>
      <c r="F33" s="5">
        <v>19</v>
      </c>
      <c r="G33" s="5" t="s">
        <v>228</v>
      </c>
      <c r="H33" s="5" t="s">
        <v>214</v>
      </c>
      <c r="I33" s="5">
        <v>2023</v>
      </c>
      <c r="J33" s="5">
        <v>29</v>
      </c>
      <c r="K33" s="5">
        <v>41</v>
      </c>
      <c r="L33" s="8">
        <v>12484731</v>
      </c>
      <c r="M33" s="8">
        <v>560000</v>
      </c>
      <c r="N33" s="4">
        <f t="shared" si="0"/>
        <v>-11924731</v>
      </c>
      <c r="O33" t="s">
        <v>63</v>
      </c>
      <c r="P33" s="5">
        <v>185</v>
      </c>
      <c r="Q33" t="s">
        <v>74</v>
      </c>
      <c r="R33" t="s">
        <v>270</v>
      </c>
      <c r="S33" t="s">
        <v>271</v>
      </c>
      <c r="T33" t="s">
        <v>31</v>
      </c>
    </row>
    <row r="34" spans="1:20" x14ac:dyDescent="0.2">
      <c r="A34" s="5" t="s">
        <v>227</v>
      </c>
      <c r="B34" s="5" t="s">
        <v>228</v>
      </c>
      <c r="C34" s="5" t="s">
        <v>214</v>
      </c>
      <c r="D34" s="5" t="s">
        <v>246</v>
      </c>
      <c r="E34" s="5" t="s">
        <v>216</v>
      </c>
      <c r="F34" s="5">
        <v>21</v>
      </c>
      <c r="G34" s="5" t="s">
        <v>228</v>
      </c>
      <c r="H34" s="5" t="s">
        <v>214</v>
      </c>
      <c r="I34" s="5">
        <v>2023</v>
      </c>
      <c r="J34" s="5" t="s">
        <v>26</v>
      </c>
      <c r="K34" s="5">
        <v>53</v>
      </c>
      <c r="L34" s="8">
        <v>0</v>
      </c>
      <c r="M34" s="8">
        <v>560000</v>
      </c>
      <c r="N34" s="4">
        <f t="shared" si="0"/>
        <v>560000</v>
      </c>
      <c r="O34" t="s">
        <v>55</v>
      </c>
      <c r="P34" s="5">
        <v>205</v>
      </c>
      <c r="Q34" t="s">
        <v>40</v>
      </c>
      <c r="R34" t="s">
        <v>247</v>
      </c>
      <c r="S34" t="s">
        <v>57</v>
      </c>
      <c r="T34" t="s">
        <v>31</v>
      </c>
    </row>
    <row r="35" spans="1:20" x14ac:dyDescent="0.2">
      <c r="A35" s="5" t="s">
        <v>227</v>
      </c>
      <c r="B35" s="5" t="s">
        <v>228</v>
      </c>
      <c r="C35" s="5" t="s">
        <v>214</v>
      </c>
      <c r="D35" s="5" t="s">
        <v>229</v>
      </c>
      <c r="E35" s="5" t="s">
        <v>221</v>
      </c>
      <c r="F35" s="5">
        <v>22</v>
      </c>
      <c r="G35" s="5" t="s">
        <v>228</v>
      </c>
      <c r="H35" s="5" t="s">
        <v>214</v>
      </c>
      <c r="I35" s="5">
        <v>2021</v>
      </c>
      <c r="J35" s="5">
        <v>60</v>
      </c>
      <c r="K35" s="5" t="s">
        <v>26</v>
      </c>
      <c r="L35" s="8">
        <v>560000</v>
      </c>
      <c r="M35" s="8">
        <v>0</v>
      </c>
      <c r="N35" s="4">
        <f t="shared" si="0"/>
        <v>-560000</v>
      </c>
      <c r="O35" t="s">
        <v>40</v>
      </c>
      <c r="P35" s="5">
        <v>215</v>
      </c>
      <c r="Q35" t="s">
        <v>36</v>
      </c>
      <c r="R35" t="s">
        <v>50</v>
      </c>
      <c r="S35" t="s">
        <v>51</v>
      </c>
      <c r="T35" t="s">
        <v>31</v>
      </c>
    </row>
    <row r="36" spans="1:20" x14ac:dyDescent="0.2">
      <c r="A36" s="5" t="s">
        <v>227</v>
      </c>
      <c r="B36" s="5" t="s">
        <v>228</v>
      </c>
      <c r="C36" s="5" t="s">
        <v>214</v>
      </c>
      <c r="D36" s="5" t="s">
        <v>230</v>
      </c>
      <c r="E36" s="5" t="s">
        <v>216</v>
      </c>
      <c r="F36" s="5">
        <v>21</v>
      </c>
      <c r="G36" s="5" t="s">
        <v>228</v>
      </c>
      <c r="H36" s="5" t="s">
        <v>214</v>
      </c>
      <c r="I36" s="5">
        <v>2022</v>
      </c>
      <c r="J36" s="5">
        <v>40</v>
      </c>
      <c r="K36" s="5" t="s">
        <v>26</v>
      </c>
      <c r="L36" s="8">
        <v>560000</v>
      </c>
      <c r="M36" s="8">
        <v>0</v>
      </c>
      <c r="N36" s="4">
        <f t="shared" si="0"/>
        <v>-560000</v>
      </c>
      <c r="O36" t="s">
        <v>49</v>
      </c>
      <c r="P36" s="5">
        <v>209</v>
      </c>
      <c r="Q36" t="s">
        <v>59</v>
      </c>
      <c r="R36" t="s">
        <v>231</v>
      </c>
      <c r="S36" t="s">
        <v>57</v>
      </c>
      <c r="T36" t="s">
        <v>31</v>
      </c>
    </row>
    <row r="37" spans="1:20" x14ac:dyDescent="0.2">
      <c r="A37" s="46" t="s">
        <v>227</v>
      </c>
      <c r="B37" s="46" t="s">
        <v>228</v>
      </c>
      <c r="C37" s="46" t="s">
        <v>214</v>
      </c>
      <c r="D37" s="46" t="s">
        <v>341</v>
      </c>
      <c r="E37" s="46" t="s">
        <v>39</v>
      </c>
      <c r="F37" s="46">
        <v>23</v>
      </c>
      <c r="G37" s="46" t="s">
        <v>228</v>
      </c>
      <c r="H37" s="46" t="s">
        <v>214</v>
      </c>
      <c r="I37" s="46">
        <v>2025</v>
      </c>
      <c r="J37" s="46">
        <v>55</v>
      </c>
      <c r="K37" s="46" t="s">
        <v>26</v>
      </c>
      <c r="L37" s="47">
        <v>560000</v>
      </c>
      <c r="M37" s="47"/>
      <c r="N37" s="59">
        <f t="shared" si="0"/>
        <v>-560000</v>
      </c>
      <c r="O37" s="35" t="s">
        <v>49</v>
      </c>
      <c r="P37" s="46">
        <v>200</v>
      </c>
      <c r="Q37" s="35" t="s">
        <v>36</v>
      </c>
      <c r="R37" s="35" t="s">
        <v>342</v>
      </c>
      <c r="S37" s="35" t="s">
        <v>242</v>
      </c>
      <c r="T37" s="35" t="s">
        <v>31</v>
      </c>
    </row>
    <row r="38" spans="1:20" x14ac:dyDescent="0.2">
      <c r="A38" s="5" t="s">
        <v>256</v>
      </c>
      <c r="B38" s="5" t="s">
        <v>257</v>
      </c>
      <c r="C38" s="5" t="s">
        <v>214</v>
      </c>
      <c r="D38" s="5" t="s">
        <v>309</v>
      </c>
      <c r="E38" s="5" t="s">
        <v>35</v>
      </c>
      <c r="F38" s="5">
        <v>20</v>
      </c>
      <c r="G38" s="5" t="s">
        <v>259</v>
      </c>
      <c r="H38" s="5" t="s">
        <v>260</v>
      </c>
      <c r="I38" s="5">
        <v>2021</v>
      </c>
      <c r="J38" s="5" t="s">
        <v>26</v>
      </c>
      <c r="K38" s="5">
        <v>21</v>
      </c>
      <c r="L38" s="4">
        <v>0</v>
      </c>
      <c r="M38" s="4">
        <v>10763240</v>
      </c>
      <c r="N38" s="4">
        <f t="shared" si="0"/>
        <v>10763240</v>
      </c>
      <c r="O38" t="s">
        <v>45</v>
      </c>
      <c r="P38" s="5">
        <v>170</v>
      </c>
      <c r="Q38" t="s">
        <v>40</v>
      </c>
      <c r="R38" t="s">
        <v>310</v>
      </c>
      <c r="S38" t="s">
        <v>311</v>
      </c>
      <c r="T38" t="s">
        <v>31</v>
      </c>
    </row>
    <row r="39" spans="1:20" x14ac:dyDescent="0.2">
      <c r="A39" s="5" t="s">
        <v>256</v>
      </c>
      <c r="B39" s="5" t="s">
        <v>257</v>
      </c>
      <c r="C39" s="5" t="s">
        <v>214</v>
      </c>
      <c r="D39" s="5" t="s">
        <v>288</v>
      </c>
      <c r="E39" s="5" t="s">
        <v>216</v>
      </c>
      <c r="F39" s="5">
        <v>22</v>
      </c>
      <c r="G39" s="5" t="s">
        <v>257</v>
      </c>
      <c r="H39" s="5" t="s">
        <v>214</v>
      </c>
      <c r="I39" s="5">
        <v>2025</v>
      </c>
      <c r="J39" s="5" t="s">
        <v>26</v>
      </c>
      <c r="K39" s="5">
        <v>30</v>
      </c>
      <c r="L39" s="4"/>
      <c r="M39" s="4">
        <v>14091596</v>
      </c>
      <c r="N39" s="4">
        <f t="shared" si="0"/>
        <v>14091596</v>
      </c>
      <c r="O39" t="s">
        <v>141</v>
      </c>
      <c r="P39" s="5">
        <v>245</v>
      </c>
      <c r="Q39" t="s">
        <v>41</v>
      </c>
      <c r="R39" t="s">
        <v>289</v>
      </c>
      <c r="T39" t="s">
        <v>290</v>
      </c>
    </row>
    <row r="40" spans="1:20" x14ac:dyDescent="0.2">
      <c r="A40" s="5" t="s">
        <v>256</v>
      </c>
      <c r="B40" s="5" t="s">
        <v>257</v>
      </c>
      <c r="C40" s="5" t="s">
        <v>214</v>
      </c>
      <c r="D40" s="5" t="s">
        <v>1025</v>
      </c>
      <c r="E40" s="5" t="s">
        <v>39</v>
      </c>
      <c r="F40" s="5">
        <v>22</v>
      </c>
      <c r="G40" s="5" t="s">
        <v>259</v>
      </c>
      <c r="H40" s="5" t="s">
        <v>260</v>
      </c>
      <c r="I40" s="5">
        <v>2022</v>
      </c>
      <c r="J40" s="5" t="s">
        <v>26</v>
      </c>
      <c r="K40" s="5">
        <v>47</v>
      </c>
      <c r="L40" s="74">
        <v>0</v>
      </c>
      <c r="M40" s="74">
        <v>560000</v>
      </c>
      <c r="N40" s="74">
        <f t="shared" si="0"/>
        <v>560000</v>
      </c>
      <c r="O40" t="s">
        <v>55</v>
      </c>
      <c r="P40" s="5">
        <v>205</v>
      </c>
      <c r="Q40" t="s">
        <v>59</v>
      </c>
      <c r="R40" t="s">
        <v>890</v>
      </c>
      <c r="S40" t="s">
        <v>61</v>
      </c>
      <c r="T40" t="s">
        <v>31</v>
      </c>
    </row>
    <row r="41" spans="1:20" x14ac:dyDescent="0.2">
      <c r="A41" s="5" t="s">
        <v>302</v>
      </c>
      <c r="B41" s="5" t="s">
        <v>162</v>
      </c>
      <c r="C41" s="5" t="s">
        <v>214</v>
      </c>
      <c r="D41" s="5" t="s">
        <v>303</v>
      </c>
      <c r="E41" s="5" t="s">
        <v>216</v>
      </c>
      <c r="F41" s="5">
        <v>21</v>
      </c>
      <c r="G41" s="5" t="s">
        <v>304</v>
      </c>
      <c r="H41" s="5" t="s">
        <v>305</v>
      </c>
      <c r="I41" s="5">
        <v>2022</v>
      </c>
      <c r="J41" s="5" t="s">
        <v>204</v>
      </c>
      <c r="K41" s="5">
        <v>23</v>
      </c>
      <c r="L41" s="8">
        <v>0</v>
      </c>
      <c r="M41" s="4">
        <v>12985886</v>
      </c>
      <c r="N41" s="4">
        <f t="shared" si="0"/>
        <v>12985886</v>
      </c>
      <c r="O41" t="s">
        <v>49</v>
      </c>
      <c r="P41" s="5">
        <v>260</v>
      </c>
      <c r="Q41" t="s">
        <v>59</v>
      </c>
      <c r="R41" t="s">
        <v>306</v>
      </c>
      <c r="S41" t="s">
        <v>162</v>
      </c>
      <c r="T41" t="s">
        <v>31</v>
      </c>
    </row>
    <row r="42" spans="1:20" x14ac:dyDescent="0.2">
      <c r="A42" s="5" t="s">
        <v>332</v>
      </c>
      <c r="B42" s="5" t="s">
        <v>333</v>
      </c>
      <c r="C42" s="5" t="s">
        <v>214</v>
      </c>
      <c r="D42" s="5" t="s">
        <v>337</v>
      </c>
      <c r="E42" s="5" t="s">
        <v>338</v>
      </c>
      <c r="F42" s="5">
        <v>18</v>
      </c>
      <c r="G42" s="5" t="s">
        <v>335</v>
      </c>
      <c r="H42" s="5" t="s">
        <v>214</v>
      </c>
      <c r="I42" s="5">
        <v>2025</v>
      </c>
      <c r="J42" s="5">
        <v>3</v>
      </c>
      <c r="K42" s="5">
        <v>2</v>
      </c>
      <c r="L42" s="4">
        <v>50438478</v>
      </c>
      <c r="M42" s="4">
        <v>56140114</v>
      </c>
      <c r="N42" s="4">
        <f t="shared" si="0"/>
        <v>5701636</v>
      </c>
      <c r="O42" t="s">
        <v>55</v>
      </c>
      <c r="P42" s="5">
        <v>215</v>
      </c>
      <c r="Q42" t="s">
        <v>28</v>
      </c>
      <c r="R42" t="s">
        <v>339</v>
      </c>
      <c r="S42" t="s">
        <v>68</v>
      </c>
      <c r="T42" t="s">
        <v>31</v>
      </c>
    </row>
    <row r="43" spans="1:20" x14ac:dyDescent="0.2">
      <c r="A43" s="5" t="s">
        <v>332</v>
      </c>
      <c r="B43" s="5" t="s">
        <v>333</v>
      </c>
      <c r="C43" s="5" t="s">
        <v>214</v>
      </c>
      <c r="D43" s="5" t="s">
        <v>334</v>
      </c>
      <c r="E43" s="5" t="s">
        <v>24</v>
      </c>
      <c r="F43" s="5">
        <v>18</v>
      </c>
      <c r="G43" s="5" t="s">
        <v>335</v>
      </c>
      <c r="H43" s="5" t="s">
        <v>214</v>
      </c>
      <c r="I43" s="5">
        <v>2025</v>
      </c>
      <c r="J43" s="5">
        <v>2</v>
      </c>
      <c r="K43" s="5">
        <v>5</v>
      </c>
      <c r="L43" s="4">
        <v>56140114</v>
      </c>
      <c r="M43" s="4">
        <v>41209782</v>
      </c>
      <c r="N43" s="4">
        <f t="shared" si="0"/>
        <v>-14930332</v>
      </c>
      <c r="O43" t="s">
        <v>74</v>
      </c>
      <c r="P43" s="5">
        <v>200</v>
      </c>
      <c r="Q43" t="s">
        <v>36</v>
      </c>
      <c r="R43" t="s">
        <v>336</v>
      </c>
      <c r="S43" t="s">
        <v>53</v>
      </c>
      <c r="T43" t="s">
        <v>31</v>
      </c>
    </row>
    <row r="44" spans="1:20" x14ac:dyDescent="0.2">
      <c r="A44" s="5" t="s">
        <v>212</v>
      </c>
      <c r="B44" s="5" t="s">
        <v>213</v>
      </c>
      <c r="C44" s="5" t="s">
        <v>214</v>
      </c>
      <c r="D44" s="3" t="s">
        <v>299</v>
      </c>
      <c r="E44" s="3" t="s">
        <v>24</v>
      </c>
      <c r="F44" s="3">
        <v>19</v>
      </c>
      <c r="G44" s="5" t="s">
        <v>213</v>
      </c>
      <c r="H44" s="5" t="s">
        <v>214</v>
      </c>
      <c r="I44" s="3">
        <v>2025</v>
      </c>
      <c r="J44" s="3" t="s">
        <v>26</v>
      </c>
      <c r="K44" s="3">
        <v>25</v>
      </c>
      <c r="L44" s="4">
        <v>0</v>
      </c>
      <c r="M44" s="4">
        <v>15308562</v>
      </c>
      <c r="N44" s="4">
        <f t="shared" si="0"/>
        <v>15308562</v>
      </c>
      <c r="O44" t="s">
        <v>45</v>
      </c>
      <c r="P44" s="5">
        <v>185</v>
      </c>
      <c r="Q44" t="s">
        <v>49</v>
      </c>
      <c r="R44" t="s">
        <v>300</v>
      </c>
      <c r="S44" t="s">
        <v>301</v>
      </c>
      <c r="T44" t="s">
        <v>31</v>
      </c>
    </row>
    <row r="45" spans="1:20" x14ac:dyDescent="0.2">
      <c r="A45" s="5" t="s">
        <v>212</v>
      </c>
      <c r="B45" s="5" t="s">
        <v>213</v>
      </c>
      <c r="C45" s="5" t="s">
        <v>214</v>
      </c>
      <c r="D45" s="3" t="s">
        <v>282</v>
      </c>
      <c r="E45" s="3" t="s">
        <v>24</v>
      </c>
      <c r="F45" s="3">
        <v>19</v>
      </c>
      <c r="G45" s="5" t="s">
        <v>213</v>
      </c>
      <c r="H45" s="5" t="s">
        <v>214</v>
      </c>
      <c r="I45" s="3">
        <v>2022</v>
      </c>
      <c r="J45" s="3">
        <v>18</v>
      </c>
      <c r="K45" s="3">
        <v>35</v>
      </c>
      <c r="L45" s="4">
        <v>15451758</v>
      </c>
      <c r="M45" s="4">
        <v>2737645</v>
      </c>
      <c r="N45" s="4">
        <f t="shared" si="0"/>
        <v>-12714113</v>
      </c>
      <c r="O45" t="s">
        <v>63</v>
      </c>
      <c r="P45" s="5">
        <v>190</v>
      </c>
      <c r="Q45" t="s">
        <v>27</v>
      </c>
      <c r="R45" t="s">
        <v>283</v>
      </c>
      <c r="S45" t="s">
        <v>51</v>
      </c>
      <c r="T45" t="s">
        <v>31</v>
      </c>
    </row>
    <row r="46" spans="1:20" x14ac:dyDescent="0.2">
      <c r="A46" s="5" t="s">
        <v>212</v>
      </c>
      <c r="B46" s="5" t="s">
        <v>213</v>
      </c>
      <c r="C46" s="5" t="s">
        <v>214</v>
      </c>
      <c r="D46" s="3" t="s">
        <v>280</v>
      </c>
      <c r="E46" s="3" t="s">
        <v>216</v>
      </c>
      <c r="F46" s="3">
        <v>21</v>
      </c>
      <c r="G46" s="5" t="s">
        <v>213</v>
      </c>
      <c r="H46" s="5" t="s">
        <v>214</v>
      </c>
      <c r="I46" s="3">
        <v>2020</v>
      </c>
      <c r="J46" s="3" t="s">
        <v>26</v>
      </c>
      <c r="K46" s="3">
        <v>35</v>
      </c>
      <c r="L46" s="4">
        <v>0</v>
      </c>
      <c r="M46" s="4">
        <v>6531283</v>
      </c>
      <c r="N46" s="4">
        <f t="shared" si="0"/>
        <v>6531283</v>
      </c>
      <c r="O46" t="s">
        <v>74</v>
      </c>
      <c r="P46" s="5">
        <v>245</v>
      </c>
      <c r="Q46" t="s">
        <v>108</v>
      </c>
      <c r="R46" t="s">
        <v>281</v>
      </c>
      <c r="S46" t="s">
        <v>159</v>
      </c>
      <c r="T46" t="s">
        <v>31</v>
      </c>
    </row>
    <row r="47" spans="1:20" x14ac:dyDescent="0.2">
      <c r="A47" s="5" t="s">
        <v>212</v>
      </c>
      <c r="B47" s="5" t="s">
        <v>213</v>
      </c>
      <c r="C47" s="5" t="s">
        <v>214</v>
      </c>
      <c r="D47" s="3" t="s">
        <v>239</v>
      </c>
      <c r="E47" s="3" t="s">
        <v>39</v>
      </c>
      <c r="F47" s="3">
        <v>22</v>
      </c>
      <c r="G47" s="5" t="s">
        <v>213</v>
      </c>
      <c r="H47" s="5" t="s">
        <v>214</v>
      </c>
      <c r="I47" s="3">
        <v>2020</v>
      </c>
      <c r="J47" s="3">
        <v>45</v>
      </c>
      <c r="K47" s="3">
        <v>53</v>
      </c>
      <c r="L47" s="4">
        <v>560000</v>
      </c>
      <c r="M47" s="4">
        <v>560000</v>
      </c>
      <c r="N47" s="4">
        <f t="shared" si="0"/>
        <v>0</v>
      </c>
      <c r="O47" t="s">
        <v>79</v>
      </c>
      <c r="P47" s="5">
        <v>185</v>
      </c>
      <c r="Q47" t="s">
        <v>49</v>
      </c>
      <c r="R47" t="s">
        <v>240</v>
      </c>
      <c r="S47" t="s">
        <v>159</v>
      </c>
      <c r="T47" t="s">
        <v>31</v>
      </c>
    </row>
    <row r="48" spans="1:20" s="35" customFormat="1" x14ac:dyDescent="0.2">
      <c r="A48" s="5" t="s">
        <v>212</v>
      </c>
      <c r="B48" s="5" t="s">
        <v>213</v>
      </c>
      <c r="C48" s="5" t="s">
        <v>214</v>
      </c>
      <c r="D48" s="3" t="s">
        <v>215</v>
      </c>
      <c r="E48" s="3" t="s">
        <v>216</v>
      </c>
      <c r="F48" s="3">
        <v>21</v>
      </c>
      <c r="G48" s="5" t="s">
        <v>213</v>
      </c>
      <c r="H48" s="5" t="s">
        <v>214</v>
      </c>
      <c r="I48" s="3">
        <v>2021</v>
      </c>
      <c r="J48" s="3">
        <v>42</v>
      </c>
      <c r="K48" s="3" t="s">
        <v>26</v>
      </c>
      <c r="L48" s="4">
        <v>560000</v>
      </c>
      <c r="M48" s="4">
        <v>0</v>
      </c>
      <c r="N48" s="4">
        <f t="shared" si="0"/>
        <v>-560000</v>
      </c>
      <c r="O48" t="s">
        <v>63</v>
      </c>
      <c r="P48" s="5">
        <v>210</v>
      </c>
      <c r="Q48" t="s">
        <v>28</v>
      </c>
      <c r="R48" t="s">
        <v>217</v>
      </c>
      <c r="S48" t="s">
        <v>218</v>
      </c>
      <c r="T48" t="s">
        <v>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ACCF-A260-B04A-9998-AC7FE3457E58}">
  <dimension ref="A1:T40"/>
  <sheetViews>
    <sheetView topLeftCell="B1" workbookViewId="0">
      <selection activeCell="N13" sqref="N13"/>
    </sheetView>
  </sheetViews>
  <sheetFormatPr baseColWidth="10" defaultColWidth="20.83203125" defaultRowHeight="16" x14ac:dyDescent="0.2"/>
  <cols>
    <col min="6" max="6" width="9.83203125" customWidth="1"/>
    <col min="9" max="9" width="14.83203125" customWidth="1"/>
    <col min="14" max="14" width="22.33203125" customWidth="1"/>
    <col min="15" max="15" width="9" customWidth="1"/>
    <col min="16" max="16" width="11.6640625" style="5" customWidth="1"/>
    <col min="17" max="17" width="11.6640625" customWidth="1"/>
    <col min="18" max="18" width="16.5" customWidth="1"/>
    <col min="19" max="19" width="13.1640625" customWidth="1"/>
    <col min="20" max="20" width="14.6640625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">
      <c r="A2" s="5" t="s">
        <v>436</v>
      </c>
      <c r="B2" s="5" t="s">
        <v>437</v>
      </c>
      <c r="C2" s="5" t="s">
        <v>345</v>
      </c>
      <c r="D2" s="5" t="s">
        <v>347</v>
      </c>
      <c r="E2" s="5" t="s">
        <v>35</v>
      </c>
      <c r="F2" s="5">
        <v>20</v>
      </c>
      <c r="G2" s="5" t="s">
        <v>348</v>
      </c>
      <c r="H2" s="5" t="s">
        <v>22</v>
      </c>
      <c r="I2" s="5">
        <v>2021</v>
      </c>
      <c r="J2" s="5">
        <v>52</v>
      </c>
      <c r="K2" s="5" t="s">
        <v>26</v>
      </c>
      <c r="L2" s="14">
        <v>560000</v>
      </c>
      <c r="M2" s="14">
        <v>0</v>
      </c>
      <c r="N2" s="14">
        <v>-560000</v>
      </c>
      <c r="O2" t="s">
        <v>40</v>
      </c>
      <c r="P2" s="5">
        <v>235</v>
      </c>
      <c r="Q2" t="s">
        <v>108</v>
      </c>
      <c r="R2" t="s">
        <v>136</v>
      </c>
      <c r="S2" t="s">
        <v>70</v>
      </c>
      <c r="T2" t="s">
        <v>31</v>
      </c>
    </row>
    <row r="3" spans="1:20" x14ac:dyDescent="0.2">
      <c r="A3" s="5" t="s">
        <v>445</v>
      </c>
      <c r="B3" s="5" t="s">
        <v>351</v>
      </c>
      <c r="C3" s="5" t="s">
        <v>345</v>
      </c>
      <c r="D3" s="5" t="s">
        <v>350</v>
      </c>
      <c r="E3" s="5" t="s">
        <v>35</v>
      </c>
      <c r="F3" s="5">
        <v>20</v>
      </c>
      <c r="G3" s="5" t="s">
        <v>351</v>
      </c>
      <c r="H3" s="5" t="s">
        <v>345</v>
      </c>
      <c r="I3" s="5">
        <v>2024</v>
      </c>
      <c r="J3" s="5">
        <v>49</v>
      </c>
      <c r="K3" s="5" t="s">
        <v>26</v>
      </c>
      <c r="L3" s="8">
        <v>560000</v>
      </c>
      <c r="M3" s="8">
        <v>0</v>
      </c>
      <c r="N3" s="8">
        <v>-560000</v>
      </c>
      <c r="O3" t="s">
        <v>55</v>
      </c>
      <c r="P3" s="5">
        <v>180</v>
      </c>
      <c r="Q3" t="s">
        <v>55</v>
      </c>
      <c r="R3" t="s">
        <v>352</v>
      </c>
      <c r="S3" t="s">
        <v>151</v>
      </c>
      <c r="T3" t="s">
        <v>31</v>
      </c>
    </row>
    <row r="4" spans="1:20" s="35" customFormat="1" x14ac:dyDescent="0.2">
      <c r="A4" s="35" t="s">
        <v>382</v>
      </c>
      <c r="B4" s="35" t="s">
        <v>383</v>
      </c>
      <c r="C4" s="35" t="s">
        <v>345</v>
      </c>
      <c r="D4" s="46" t="s">
        <v>354</v>
      </c>
      <c r="E4" s="46" t="s">
        <v>267</v>
      </c>
      <c r="F4" s="46">
        <v>22</v>
      </c>
      <c r="G4" s="46" t="s">
        <v>355</v>
      </c>
      <c r="H4" s="46" t="s">
        <v>345</v>
      </c>
      <c r="I4" s="46">
        <v>2025</v>
      </c>
      <c r="J4" s="46">
        <v>50</v>
      </c>
      <c r="K4" s="46" t="s">
        <v>26</v>
      </c>
      <c r="L4" s="47">
        <v>560000</v>
      </c>
      <c r="M4" s="47"/>
      <c r="N4" s="47">
        <v>560000</v>
      </c>
      <c r="O4" s="35" t="s">
        <v>63</v>
      </c>
      <c r="P4" s="46">
        <v>180</v>
      </c>
      <c r="Q4" s="35" t="s">
        <v>28</v>
      </c>
      <c r="R4" s="35" t="s">
        <v>244</v>
      </c>
      <c r="S4" s="35" t="s">
        <v>245</v>
      </c>
      <c r="T4" s="35" t="s">
        <v>31</v>
      </c>
    </row>
    <row r="5" spans="1:20" x14ac:dyDescent="0.2">
      <c r="A5" s="71" t="s">
        <v>392</v>
      </c>
      <c r="B5" s="71" t="s">
        <v>393</v>
      </c>
      <c r="C5" s="71" t="s">
        <v>345</v>
      </c>
      <c r="D5" s="72" t="s">
        <v>358</v>
      </c>
      <c r="E5" s="5" t="s">
        <v>267</v>
      </c>
      <c r="F5" s="5">
        <v>23</v>
      </c>
      <c r="G5" s="5" t="s">
        <v>359</v>
      </c>
      <c r="H5" s="5" t="s">
        <v>360</v>
      </c>
      <c r="I5" s="5">
        <v>2020</v>
      </c>
      <c r="J5" s="5" t="s">
        <v>26</v>
      </c>
      <c r="K5" s="5">
        <v>56</v>
      </c>
      <c r="L5" s="8">
        <v>0</v>
      </c>
      <c r="M5" s="8">
        <v>560000</v>
      </c>
      <c r="N5" s="8">
        <v>560000</v>
      </c>
      <c r="O5" t="s">
        <v>79</v>
      </c>
      <c r="P5" s="5">
        <v>180</v>
      </c>
      <c r="Q5" t="s">
        <v>63</v>
      </c>
      <c r="R5" t="s">
        <v>361</v>
      </c>
      <c r="S5" t="s">
        <v>33</v>
      </c>
      <c r="T5" t="s">
        <v>31</v>
      </c>
    </row>
    <row r="6" spans="1:20" x14ac:dyDescent="0.2">
      <c r="A6" s="72" t="s">
        <v>401</v>
      </c>
      <c r="B6" s="72" t="s">
        <v>402</v>
      </c>
      <c r="C6" s="72" t="s">
        <v>345</v>
      </c>
      <c r="D6" s="72" t="s">
        <v>363</v>
      </c>
      <c r="E6" s="5" t="s">
        <v>24</v>
      </c>
      <c r="F6" s="5">
        <v>19</v>
      </c>
      <c r="G6" s="5" t="s">
        <v>249</v>
      </c>
      <c r="H6" s="5" t="s">
        <v>214</v>
      </c>
      <c r="I6" s="5">
        <v>2024</v>
      </c>
      <c r="J6" s="5" t="s">
        <v>26</v>
      </c>
      <c r="K6" s="5">
        <v>55</v>
      </c>
      <c r="L6" s="8">
        <v>0</v>
      </c>
      <c r="M6" s="8">
        <v>7895796</v>
      </c>
      <c r="N6" s="8">
        <v>7895796</v>
      </c>
      <c r="O6" t="s">
        <v>45</v>
      </c>
      <c r="P6" s="5">
        <v>210</v>
      </c>
      <c r="Q6" t="s">
        <v>74</v>
      </c>
      <c r="R6" t="s">
        <v>60</v>
      </c>
      <c r="S6" t="s">
        <v>61</v>
      </c>
      <c r="T6" t="s">
        <v>31</v>
      </c>
    </row>
    <row r="7" spans="1:20" s="35" customFormat="1" x14ac:dyDescent="0.2">
      <c r="A7" s="35" t="s">
        <v>392</v>
      </c>
      <c r="B7" s="35" t="s">
        <v>393</v>
      </c>
      <c r="C7" s="35" t="s">
        <v>345</v>
      </c>
      <c r="D7" s="46" t="s">
        <v>365</v>
      </c>
      <c r="E7" s="46" t="s">
        <v>39</v>
      </c>
      <c r="F7" s="46">
        <v>24</v>
      </c>
      <c r="G7" s="46" t="s">
        <v>366</v>
      </c>
      <c r="H7" s="46" t="s">
        <v>345</v>
      </c>
      <c r="I7" s="46">
        <v>2024</v>
      </c>
      <c r="J7" s="46" t="s">
        <v>26</v>
      </c>
      <c r="K7" s="46">
        <v>52</v>
      </c>
      <c r="L7" s="47">
        <v>0</v>
      </c>
      <c r="M7" s="47">
        <v>560000</v>
      </c>
      <c r="N7" s="47"/>
      <c r="O7" s="35" t="s">
        <v>141</v>
      </c>
      <c r="P7" s="46">
        <v>245</v>
      </c>
      <c r="Q7" s="35" t="s">
        <v>108</v>
      </c>
      <c r="R7" s="35" t="s">
        <v>367</v>
      </c>
      <c r="T7" s="35" t="s">
        <v>368</v>
      </c>
    </row>
    <row r="8" spans="1:20" x14ac:dyDescent="0.2">
      <c r="A8" s="5" t="s">
        <v>436</v>
      </c>
      <c r="B8" s="5" t="s">
        <v>437</v>
      </c>
      <c r="C8" s="5" t="s">
        <v>345</v>
      </c>
      <c r="D8" s="5" t="s">
        <v>369</v>
      </c>
      <c r="E8" s="5" t="s">
        <v>267</v>
      </c>
      <c r="F8" s="5">
        <v>23</v>
      </c>
      <c r="G8" s="5" t="s">
        <v>348</v>
      </c>
      <c r="H8" s="5" t="s">
        <v>22</v>
      </c>
      <c r="I8" s="5">
        <v>2020</v>
      </c>
      <c r="J8" s="5" t="s">
        <v>26</v>
      </c>
      <c r="K8" s="5">
        <v>50</v>
      </c>
      <c r="L8" s="8">
        <v>0</v>
      </c>
      <c r="M8" s="8">
        <v>560000</v>
      </c>
      <c r="N8" s="8">
        <v>560000</v>
      </c>
      <c r="O8" s="14" t="s">
        <v>55</v>
      </c>
      <c r="P8" s="5">
        <v>205</v>
      </c>
      <c r="Q8" t="s">
        <v>74</v>
      </c>
      <c r="R8" t="s">
        <v>370</v>
      </c>
      <c r="S8" t="s">
        <v>271</v>
      </c>
      <c r="T8" t="s">
        <v>31</v>
      </c>
    </row>
    <row r="9" spans="1:20" x14ac:dyDescent="0.2">
      <c r="A9" s="72" t="s">
        <v>401</v>
      </c>
      <c r="B9" s="72" t="s">
        <v>402</v>
      </c>
      <c r="C9" s="72" t="s">
        <v>345</v>
      </c>
      <c r="D9" s="72" t="s">
        <v>372</v>
      </c>
      <c r="E9" s="5" t="s">
        <v>107</v>
      </c>
      <c r="F9" s="5">
        <v>22</v>
      </c>
      <c r="G9" s="5" t="s">
        <v>249</v>
      </c>
      <c r="H9" s="5" t="s">
        <v>214</v>
      </c>
      <c r="I9" s="5">
        <v>2022</v>
      </c>
      <c r="J9" s="5" t="s">
        <v>26</v>
      </c>
      <c r="K9" s="5">
        <v>49</v>
      </c>
      <c r="L9" s="8">
        <v>0</v>
      </c>
      <c r="M9" s="8">
        <v>560000</v>
      </c>
      <c r="N9" s="8">
        <v>560000</v>
      </c>
      <c r="O9" t="s">
        <v>28</v>
      </c>
      <c r="P9" s="5">
        <v>240</v>
      </c>
      <c r="Q9" t="s">
        <v>108</v>
      </c>
      <c r="R9" t="s">
        <v>373</v>
      </c>
      <c r="S9" t="s">
        <v>57</v>
      </c>
      <c r="T9" t="s">
        <v>31</v>
      </c>
    </row>
    <row r="10" spans="1:20" s="43" customFormat="1" x14ac:dyDescent="0.2">
      <c r="A10" s="43" t="s">
        <v>343</v>
      </c>
      <c r="B10" s="43" t="s">
        <v>344</v>
      </c>
      <c r="C10" s="43" t="s">
        <v>345</v>
      </c>
      <c r="D10" s="44" t="s">
        <v>371</v>
      </c>
      <c r="E10" s="44" t="s">
        <v>107</v>
      </c>
      <c r="F10" s="44">
        <v>21</v>
      </c>
      <c r="G10" s="44" t="s">
        <v>344</v>
      </c>
      <c r="H10" s="44" t="s">
        <v>345</v>
      </c>
      <c r="I10" s="44">
        <v>2025</v>
      </c>
      <c r="J10" s="44">
        <v>35</v>
      </c>
      <c r="K10" s="44">
        <v>49</v>
      </c>
      <c r="L10" s="45">
        <v>560000</v>
      </c>
      <c r="M10" s="45">
        <v>3423787</v>
      </c>
      <c r="N10" s="45">
        <f>M10-L10</f>
        <v>2863787</v>
      </c>
      <c r="O10" s="43" t="s">
        <v>63</v>
      </c>
      <c r="P10" s="44">
        <v>185</v>
      </c>
      <c r="Q10" s="43" t="s">
        <v>74</v>
      </c>
      <c r="R10" s="43" t="s">
        <v>174</v>
      </c>
      <c r="T10" s="43" t="s">
        <v>375</v>
      </c>
    </row>
    <row r="11" spans="1:20" x14ac:dyDescent="0.2">
      <c r="A11" s="5" t="s">
        <v>432</v>
      </c>
      <c r="B11" s="5" t="s">
        <v>148</v>
      </c>
      <c r="C11" s="5" t="s">
        <v>345</v>
      </c>
      <c r="D11" s="5" t="s">
        <v>380</v>
      </c>
      <c r="E11" s="5" t="s">
        <v>379</v>
      </c>
      <c r="F11" s="5">
        <v>21</v>
      </c>
      <c r="G11" s="5" t="s">
        <v>148</v>
      </c>
      <c r="H11" s="5" t="s">
        <v>345</v>
      </c>
      <c r="I11" s="5">
        <v>2024</v>
      </c>
      <c r="J11" s="5" t="s">
        <v>26</v>
      </c>
      <c r="K11" s="5">
        <v>48</v>
      </c>
      <c r="L11" s="8">
        <v>0</v>
      </c>
      <c r="M11" s="8">
        <v>560000</v>
      </c>
      <c r="N11" s="8">
        <v>560000</v>
      </c>
      <c r="O11" s="14" t="s">
        <v>49</v>
      </c>
      <c r="P11" s="5">
        <v>235</v>
      </c>
      <c r="Q11" t="s">
        <v>36</v>
      </c>
      <c r="R11" t="s">
        <v>381</v>
      </c>
      <c r="S11" t="s">
        <v>82</v>
      </c>
      <c r="T11" t="s">
        <v>31</v>
      </c>
    </row>
    <row r="12" spans="1:20" x14ac:dyDescent="0.2">
      <c r="A12" s="5" t="s">
        <v>422</v>
      </c>
      <c r="B12" s="5" t="s">
        <v>395</v>
      </c>
      <c r="C12" s="5" t="s">
        <v>345</v>
      </c>
      <c r="D12" s="5" t="s">
        <v>385</v>
      </c>
      <c r="E12" s="5" t="s">
        <v>35</v>
      </c>
      <c r="F12" s="5">
        <v>20</v>
      </c>
      <c r="G12" s="5" t="s">
        <v>386</v>
      </c>
      <c r="H12" s="5" t="s">
        <v>387</v>
      </c>
      <c r="I12" s="5">
        <v>2020</v>
      </c>
      <c r="J12" s="5" t="s">
        <v>26</v>
      </c>
      <c r="K12" s="5">
        <v>46</v>
      </c>
      <c r="L12" s="8">
        <v>0</v>
      </c>
      <c r="M12" s="8">
        <v>2416291</v>
      </c>
      <c r="N12" s="8">
        <f>M12-L12</f>
        <v>2416291</v>
      </c>
      <c r="O12" t="s">
        <v>74</v>
      </c>
      <c r="P12" s="5">
        <v>200</v>
      </c>
      <c r="Q12" t="s">
        <v>74</v>
      </c>
      <c r="R12" t="s">
        <v>388</v>
      </c>
      <c r="S12" t="s">
        <v>234</v>
      </c>
      <c r="T12" t="s">
        <v>31</v>
      </c>
    </row>
    <row r="13" spans="1:20" s="35" customFormat="1" x14ac:dyDescent="0.2">
      <c r="A13" s="46" t="s">
        <v>448</v>
      </c>
      <c r="B13" s="46" t="s">
        <v>449</v>
      </c>
      <c r="C13" s="46" t="s">
        <v>345</v>
      </c>
      <c r="D13" s="46" t="s">
        <v>389</v>
      </c>
      <c r="E13" s="46" t="s">
        <v>39</v>
      </c>
      <c r="F13" s="46">
        <v>24</v>
      </c>
      <c r="G13" s="46" t="s">
        <v>390</v>
      </c>
      <c r="H13" s="46" t="s">
        <v>345</v>
      </c>
      <c r="I13" s="46">
        <v>2025</v>
      </c>
      <c r="J13" s="46" t="s">
        <v>26</v>
      </c>
      <c r="K13" s="46">
        <v>43</v>
      </c>
      <c r="M13" s="75">
        <v>560000</v>
      </c>
      <c r="N13" s="8">
        <f>M13-L13</f>
        <v>560000</v>
      </c>
      <c r="O13" s="35" t="s">
        <v>49</v>
      </c>
      <c r="P13" s="46">
        <v>215</v>
      </c>
      <c r="Q13" s="35" t="s">
        <v>59</v>
      </c>
      <c r="R13" s="35" t="s">
        <v>391</v>
      </c>
      <c r="S13" s="35" t="s">
        <v>68</v>
      </c>
      <c r="T13" s="35" t="s">
        <v>31</v>
      </c>
    </row>
    <row r="14" spans="1:20" s="43" customFormat="1" x14ac:dyDescent="0.2">
      <c r="A14" s="44" t="s">
        <v>422</v>
      </c>
      <c r="B14" s="44" t="s">
        <v>395</v>
      </c>
      <c r="C14" s="44" t="s">
        <v>345</v>
      </c>
      <c r="D14" s="44" t="s">
        <v>394</v>
      </c>
      <c r="E14" s="44" t="s">
        <v>39</v>
      </c>
      <c r="F14" s="44">
        <v>22</v>
      </c>
      <c r="G14" s="44" t="s">
        <v>395</v>
      </c>
      <c r="H14" s="44" t="s">
        <v>345</v>
      </c>
      <c r="I14" s="44">
        <v>2025</v>
      </c>
      <c r="J14" s="44" t="s">
        <v>26</v>
      </c>
      <c r="K14" s="44">
        <v>42</v>
      </c>
      <c r="L14" s="45">
        <v>0</v>
      </c>
      <c r="M14" s="45">
        <v>3423788</v>
      </c>
      <c r="N14" s="45">
        <f>M14-L14</f>
        <v>3423788</v>
      </c>
      <c r="O14" s="43" t="s">
        <v>141</v>
      </c>
      <c r="P14" s="44">
        <v>240</v>
      </c>
      <c r="Q14" s="43" t="s">
        <v>141</v>
      </c>
      <c r="R14" s="43" t="s">
        <v>396</v>
      </c>
      <c r="T14" s="43" t="s">
        <v>397</v>
      </c>
    </row>
    <row r="15" spans="1:20" s="43" customFormat="1" x14ac:dyDescent="0.2">
      <c r="A15" s="44" t="s">
        <v>422</v>
      </c>
      <c r="B15" s="44" t="s">
        <v>395</v>
      </c>
      <c r="C15" s="44" t="s">
        <v>345</v>
      </c>
      <c r="D15" s="44" t="s">
        <v>398</v>
      </c>
      <c r="E15" s="44" t="s">
        <v>35</v>
      </c>
      <c r="F15" s="44">
        <v>20</v>
      </c>
      <c r="G15" s="44" t="s">
        <v>386</v>
      </c>
      <c r="H15" s="44" t="s">
        <v>387</v>
      </c>
      <c r="I15" s="44">
        <v>2023</v>
      </c>
      <c r="J15" s="44">
        <v>46</v>
      </c>
      <c r="K15" s="44">
        <v>39</v>
      </c>
      <c r="L15" s="45">
        <v>560000</v>
      </c>
      <c r="M15" s="45">
        <v>3011420</v>
      </c>
      <c r="N15" s="45">
        <f>M15-L15</f>
        <v>2451420</v>
      </c>
      <c r="O15" s="43" t="s">
        <v>59</v>
      </c>
      <c r="P15" s="44">
        <v>215</v>
      </c>
      <c r="Q15" s="43" t="s">
        <v>41</v>
      </c>
      <c r="R15" s="43" t="s">
        <v>399</v>
      </c>
      <c r="T15" s="43" t="s">
        <v>400</v>
      </c>
    </row>
    <row r="16" spans="1:20" s="43" customFormat="1" x14ac:dyDescent="0.2">
      <c r="A16" s="43" t="s">
        <v>376</v>
      </c>
      <c r="B16" s="43" t="s">
        <v>377</v>
      </c>
      <c r="C16" s="43" t="s">
        <v>345</v>
      </c>
      <c r="D16" s="44" t="s">
        <v>378</v>
      </c>
      <c r="E16" s="44" t="s">
        <v>404</v>
      </c>
      <c r="F16" s="44">
        <v>23</v>
      </c>
      <c r="G16" s="44" t="s">
        <v>377</v>
      </c>
      <c r="H16" s="44" t="s">
        <v>345</v>
      </c>
      <c r="I16" s="44">
        <v>2023</v>
      </c>
      <c r="J16" s="44" t="s">
        <v>26</v>
      </c>
      <c r="K16" s="44">
        <v>37</v>
      </c>
      <c r="L16" s="45">
        <v>0</v>
      </c>
      <c r="M16" s="45">
        <v>5233097</v>
      </c>
      <c r="N16" s="45">
        <v>7639302</v>
      </c>
      <c r="O16" s="43" t="s">
        <v>27</v>
      </c>
      <c r="P16" s="44">
        <v>215</v>
      </c>
      <c r="Q16" s="43" t="s">
        <v>28</v>
      </c>
      <c r="R16" s="43" t="s">
        <v>405</v>
      </c>
      <c r="S16" s="43" t="s">
        <v>148</v>
      </c>
      <c r="T16" s="43" t="s">
        <v>31</v>
      </c>
    </row>
    <row r="17" spans="1:20" s="43" customFormat="1" x14ac:dyDescent="0.2">
      <c r="A17" s="44" t="s">
        <v>416</v>
      </c>
      <c r="B17" s="44" t="s">
        <v>417</v>
      </c>
      <c r="C17" s="44" t="s">
        <v>345</v>
      </c>
      <c r="D17" s="44" t="s">
        <v>407</v>
      </c>
      <c r="E17" s="44" t="s">
        <v>39</v>
      </c>
      <c r="F17" s="44">
        <v>23</v>
      </c>
      <c r="G17" s="44" t="s">
        <v>257</v>
      </c>
      <c r="H17" s="44" t="s">
        <v>214</v>
      </c>
      <c r="I17" s="44">
        <v>2022</v>
      </c>
      <c r="J17" s="44" t="s">
        <v>26</v>
      </c>
      <c r="K17" s="44">
        <v>36</v>
      </c>
      <c r="L17" s="45">
        <v>0</v>
      </c>
      <c r="M17" s="45">
        <v>560000</v>
      </c>
      <c r="N17" s="45">
        <f>Table3[[#This Row],[Actual Money]]-Table3[[#This Row],[Projected Money]]</f>
        <v>560000</v>
      </c>
      <c r="O17" s="43" t="s">
        <v>63</v>
      </c>
      <c r="P17" s="44">
        <v>215</v>
      </c>
      <c r="Q17" s="43" t="s">
        <v>28</v>
      </c>
      <c r="R17" s="43" t="s">
        <v>408</v>
      </c>
      <c r="S17" s="43" t="s">
        <v>68</v>
      </c>
      <c r="T17" s="43" t="s">
        <v>31</v>
      </c>
    </row>
    <row r="18" spans="1:20" s="43" customFormat="1" x14ac:dyDescent="0.2">
      <c r="A18" s="43" t="s">
        <v>343</v>
      </c>
      <c r="B18" s="43" t="s">
        <v>344</v>
      </c>
      <c r="C18" s="43" t="s">
        <v>345</v>
      </c>
      <c r="D18" s="44" t="s">
        <v>374</v>
      </c>
      <c r="E18" s="44" t="s">
        <v>39</v>
      </c>
      <c r="F18" s="44">
        <v>23</v>
      </c>
      <c r="G18" s="44" t="s">
        <v>344</v>
      </c>
      <c r="H18" s="44" t="s">
        <v>345</v>
      </c>
      <c r="I18" s="44">
        <v>2025</v>
      </c>
      <c r="J18" s="44">
        <v>51</v>
      </c>
      <c r="K18" s="44">
        <v>33</v>
      </c>
      <c r="L18" s="45">
        <v>560000</v>
      </c>
      <c r="M18" s="45">
        <v>4707364</v>
      </c>
      <c r="N18" s="45">
        <f>M18-L18</f>
        <v>4147364</v>
      </c>
      <c r="O18" s="43" t="s">
        <v>49</v>
      </c>
      <c r="P18" s="44">
        <v>220</v>
      </c>
      <c r="Q18" s="43" t="s">
        <v>409</v>
      </c>
      <c r="R18" s="43" t="s">
        <v>410</v>
      </c>
      <c r="S18" s="43" t="s">
        <v>47</v>
      </c>
      <c r="T18" s="43" t="s">
        <v>31</v>
      </c>
    </row>
    <row r="19" spans="1:20" s="43" customFormat="1" x14ac:dyDescent="0.2">
      <c r="A19" s="44" t="s">
        <v>416</v>
      </c>
      <c r="B19" s="44" t="s">
        <v>417</v>
      </c>
      <c r="C19" s="44" t="s">
        <v>345</v>
      </c>
      <c r="D19" s="44" t="s">
        <v>412</v>
      </c>
      <c r="E19" s="44" t="s">
        <v>39</v>
      </c>
      <c r="F19" s="44">
        <v>23</v>
      </c>
      <c r="G19" s="44" t="s">
        <v>257</v>
      </c>
      <c r="H19" s="44" t="s">
        <v>214</v>
      </c>
      <c r="I19" s="44">
        <v>2021</v>
      </c>
      <c r="J19" s="44" t="s">
        <v>26</v>
      </c>
      <c r="K19" s="44">
        <v>32</v>
      </c>
      <c r="L19" s="45">
        <v>0</v>
      </c>
      <c r="M19" s="45">
        <v>5821677</v>
      </c>
      <c r="N19" s="45">
        <f>M19-L19</f>
        <v>5821677</v>
      </c>
      <c r="O19" s="43" t="s">
        <v>45</v>
      </c>
      <c r="P19" s="44">
        <v>200</v>
      </c>
      <c r="Q19" s="43" t="s">
        <v>74</v>
      </c>
      <c r="R19" s="43" t="s">
        <v>413</v>
      </c>
      <c r="S19" s="43" t="s">
        <v>113</v>
      </c>
      <c r="T19" s="43" t="s">
        <v>31</v>
      </c>
    </row>
    <row r="20" spans="1:20" s="43" customFormat="1" x14ac:dyDescent="0.2">
      <c r="A20" s="43" t="s">
        <v>343</v>
      </c>
      <c r="B20" s="43" t="s">
        <v>344</v>
      </c>
      <c r="C20" s="43" t="s">
        <v>345</v>
      </c>
      <c r="D20" s="44" t="s">
        <v>353</v>
      </c>
      <c r="E20" s="44" t="s">
        <v>35</v>
      </c>
      <c r="F20" s="44">
        <v>29</v>
      </c>
      <c r="G20" s="44" t="s">
        <v>344</v>
      </c>
      <c r="H20" s="44" t="s">
        <v>345</v>
      </c>
      <c r="I20" s="44">
        <v>2024</v>
      </c>
      <c r="J20" s="44">
        <v>9</v>
      </c>
      <c r="K20" s="44">
        <v>32</v>
      </c>
      <c r="L20" s="45">
        <v>26279554</v>
      </c>
      <c r="M20" s="45">
        <v>6000000</v>
      </c>
      <c r="N20" s="45">
        <v>-14279554</v>
      </c>
      <c r="O20" s="43" t="s">
        <v>59</v>
      </c>
      <c r="P20" s="44">
        <v>250</v>
      </c>
      <c r="Q20" s="43" t="s">
        <v>414</v>
      </c>
      <c r="R20" s="43" t="s">
        <v>415</v>
      </c>
      <c r="S20" s="43" t="s">
        <v>113</v>
      </c>
      <c r="T20" s="43" t="s">
        <v>31</v>
      </c>
    </row>
    <row r="21" spans="1:20" x14ac:dyDescent="0.2">
      <c r="A21" s="72" t="s">
        <v>401</v>
      </c>
      <c r="B21" s="72" t="s">
        <v>402</v>
      </c>
      <c r="C21" s="72" t="s">
        <v>345</v>
      </c>
      <c r="D21" s="72" t="s">
        <v>411</v>
      </c>
      <c r="E21" s="5" t="s">
        <v>24</v>
      </c>
      <c r="F21" s="5">
        <v>19</v>
      </c>
      <c r="G21" s="5" t="s">
        <v>249</v>
      </c>
      <c r="H21" s="5" t="s">
        <v>214</v>
      </c>
      <c r="I21" s="5">
        <v>2024</v>
      </c>
      <c r="J21" s="5">
        <v>2</v>
      </c>
      <c r="K21" s="5">
        <v>29</v>
      </c>
      <c r="L21" s="8">
        <v>51185934</v>
      </c>
      <c r="M21" s="8">
        <v>12903788</v>
      </c>
      <c r="N21" s="8">
        <v>-38282146</v>
      </c>
      <c r="O21" t="s">
        <v>55</v>
      </c>
      <c r="P21" s="5">
        <v>205</v>
      </c>
      <c r="Q21" t="s">
        <v>63</v>
      </c>
      <c r="R21" t="s">
        <v>418</v>
      </c>
      <c r="S21" t="s">
        <v>47</v>
      </c>
      <c r="T21" t="s">
        <v>31</v>
      </c>
    </row>
    <row r="22" spans="1:20" x14ac:dyDescent="0.2">
      <c r="A22" s="5" t="s">
        <v>436</v>
      </c>
      <c r="B22" s="5" t="s">
        <v>437</v>
      </c>
      <c r="C22" s="5" t="s">
        <v>345</v>
      </c>
      <c r="D22" s="5" t="s">
        <v>419</v>
      </c>
      <c r="E22" s="5" t="s">
        <v>24</v>
      </c>
      <c r="F22" s="5">
        <v>19</v>
      </c>
      <c r="G22" s="5" t="s">
        <v>348</v>
      </c>
      <c r="H22" s="5" t="s">
        <v>22</v>
      </c>
      <c r="I22" s="5">
        <v>2021</v>
      </c>
      <c r="J22" s="5">
        <v>32</v>
      </c>
      <c r="K22" s="5">
        <v>27</v>
      </c>
      <c r="L22" s="8">
        <v>560000</v>
      </c>
      <c r="M22" s="8">
        <v>10455849</v>
      </c>
      <c r="N22" s="8">
        <v>9895849</v>
      </c>
      <c r="O22" t="s">
        <v>45</v>
      </c>
      <c r="P22" s="5">
        <v>200</v>
      </c>
      <c r="Q22" t="s">
        <v>49</v>
      </c>
      <c r="R22" t="s">
        <v>420</v>
      </c>
      <c r="S22" t="s">
        <v>421</v>
      </c>
      <c r="T22" t="s">
        <v>31</v>
      </c>
    </row>
    <row r="23" spans="1:20" x14ac:dyDescent="0.2">
      <c r="A23" t="s">
        <v>343</v>
      </c>
      <c r="B23" t="s">
        <v>344</v>
      </c>
      <c r="C23" t="s">
        <v>345</v>
      </c>
      <c r="D23" s="5" t="s">
        <v>349</v>
      </c>
      <c r="E23" s="5" t="s">
        <v>24</v>
      </c>
      <c r="F23" s="5">
        <v>18</v>
      </c>
      <c r="G23" s="5" t="s">
        <v>344</v>
      </c>
      <c r="H23" s="5" t="s">
        <v>345</v>
      </c>
      <c r="I23" s="5">
        <v>2023</v>
      </c>
      <c r="J23" s="5">
        <v>9</v>
      </c>
      <c r="K23" s="5">
        <v>22</v>
      </c>
      <c r="L23" s="8">
        <v>25351580</v>
      </c>
      <c r="M23" s="8">
        <v>14709752</v>
      </c>
      <c r="N23" s="8">
        <v>-10641828</v>
      </c>
      <c r="O23" t="s">
        <v>49</v>
      </c>
      <c r="P23" s="5">
        <v>217</v>
      </c>
      <c r="Q23" t="s">
        <v>28</v>
      </c>
      <c r="R23" t="s">
        <v>423</v>
      </c>
      <c r="S23" t="s">
        <v>68</v>
      </c>
      <c r="T23" t="s">
        <v>31</v>
      </c>
    </row>
    <row r="24" spans="1:20" x14ac:dyDescent="0.2">
      <c r="A24" s="5" t="s">
        <v>432</v>
      </c>
      <c r="B24" s="5" t="s">
        <v>148</v>
      </c>
      <c r="C24" s="5" t="s">
        <v>345</v>
      </c>
      <c r="D24" s="5" t="s">
        <v>424</v>
      </c>
      <c r="E24" s="5" t="s">
        <v>24</v>
      </c>
      <c r="F24" s="5">
        <v>19</v>
      </c>
      <c r="G24" s="5" t="s">
        <v>148</v>
      </c>
      <c r="H24" s="5" t="s">
        <v>345</v>
      </c>
      <c r="I24" s="5">
        <v>2025</v>
      </c>
      <c r="J24" s="5">
        <v>11</v>
      </c>
      <c r="K24" s="5">
        <v>22</v>
      </c>
      <c r="L24" s="8">
        <v>0</v>
      </c>
      <c r="M24" s="8">
        <v>16723992</v>
      </c>
      <c r="N24" s="8">
        <f>M24-L24</f>
        <v>16723992</v>
      </c>
      <c r="O24" s="14" t="s">
        <v>49</v>
      </c>
      <c r="P24" s="5">
        <v>200</v>
      </c>
      <c r="Q24" t="s">
        <v>36</v>
      </c>
      <c r="R24" t="s">
        <v>425</v>
      </c>
      <c r="S24" t="s">
        <v>148</v>
      </c>
      <c r="T24" t="s">
        <v>31</v>
      </c>
    </row>
    <row r="25" spans="1:20" x14ac:dyDescent="0.2">
      <c r="A25" s="5" t="s">
        <v>429</v>
      </c>
      <c r="B25" s="5" t="s">
        <v>430</v>
      </c>
      <c r="C25" s="5" t="s">
        <v>345</v>
      </c>
      <c r="D25" s="5" t="s">
        <v>426</v>
      </c>
      <c r="E25" s="5" t="s">
        <v>107</v>
      </c>
      <c r="F25" s="5">
        <v>21</v>
      </c>
      <c r="G25" s="5" t="s">
        <v>427</v>
      </c>
      <c r="H25" s="5" t="s">
        <v>85</v>
      </c>
      <c r="I25" s="5">
        <v>2024</v>
      </c>
      <c r="J25" s="5" t="s">
        <v>26</v>
      </c>
      <c r="K25" s="5">
        <v>20</v>
      </c>
      <c r="L25" s="8">
        <v>0</v>
      </c>
      <c r="M25" s="8">
        <v>16166314</v>
      </c>
      <c r="N25" s="8">
        <v>16166314</v>
      </c>
      <c r="O25" t="s">
        <v>74</v>
      </c>
      <c r="P25" s="5">
        <v>220</v>
      </c>
      <c r="Q25" t="s">
        <v>27</v>
      </c>
      <c r="R25" t="s">
        <v>428</v>
      </c>
      <c r="S25" t="s">
        <v>82</v>
      </c>
      <c r="T25" t="s">
        <v>31</v>
      </c>
    </row>
    <row r="26" spans="1:20" x14ac:dyDescent="0.2">
      <c r="A26" t="s">
        <v>382</v>
      </c>
      <c r="B26" t="s">
        <v>383</v>
      </c>
      <c r="C26" t="s">
        <v>345</v>
      </c>
      <c r="D26" s="5" t="s">
        <v>384</v>
      </c>
      <c r="E26" s="5" t="s">
        <v>216</v>
      </c>
      <c r="F26" s="5">
        <v>21</v>
      </c>
      <c r="G26" s="5" t="s">
        <v>355</v>
      </c>
      <c r="H26" s="5" t="s">
        <v>345</v>
      </c>
      <c r="I26" s="5">
        <v>2022</v>
      </c>
      <c r="J26" s="5" t="s">
        <v>26</v>
      </c>
      <c r="K26" s="5">
        <v>19</v>
      </c>
      <c r="L26" s="8">
        <v>0</v>
      </c>
      <c r="M26" s="8">
        <v>14763367</v>
      </c>
      <c r="N26" s="8">
        <v>14763367</v>
      </c>
      <c r="O26" t="s">
        <v>27</v>
      </c>
      <c r="P26" s="5">
        <v>225</v>
      </c>
      <c r="Q26" t="s">
        <v>431</v>
      </c>
      <c r="R26" t="s">
        <v>217</v>
      </c>
      <c r="S26" t="s">
        <v>218</v>
      </c>
      <c r="T26" t="s">
        <v>31</v>
      </c>
    </row>
    <row r="27" spans="1:20" x14ac:dyDescent="0.2">
      <c r="A27" s="5" t="s">
        <v>436</v>
      </c>
      <c r="B27" s="5" t="s">
        <v>437</v>
      </c>
      <c r="C27" s="5" t="s">
        <v>345</v>
      </c>
      <c r="D27" s="5" t="s">
        <v>433</v>
      </c>
      <c r="E27" s="5" t="s">
        <v>35</v>
      </c>
      <c r="F27" s="5">
        <v>21</v>
      </c>
      <c r="G27" s="5" t="s">
        <v>348</v>
      </c>
      <c r="H27" s="5" t="s">
        <v>22</v>
      </c>
      <c r="I27" s="5">
        <v>2022</v>
      </c>
      <c r="J27" s="5" t="s">
        <v>26</v>
      </c>
      <c r="K27" s="5">
        <v>17</v>
      </c>
      <c r="L27" s="8">
        <v>0</v>
      </c>
      <c r="M27" s="8">
        <v>16257246</v>
      </c>
      <c r="N27" s="8">
        <v>16257246</v>
      </c>
      <c r="O27" t="s">
        <v>27</v>
      </c>
      <c r="P27" s="5">
        <v>215</v>
      </c>
      <c r="Q27" t="s">
        <v>108</v>
      </c>
      <c r="R27" t="s">
        <v>388</v>
      </c>
      <c r="S27" t="s">
        <v>234</v>
      </c>
      <c r="T27" t="s">
        <v>31</v>
      </c>
    </row>
    <row r="28" spans="1:20" x14ac:dyDescent="0.2">
      <c r="A28" s="71" t="s">
        <v>343</v>
      </c>
      <c r="B28" s="71" t="s">
        <v>344</v>
      </c>
      <c r="C28" s="71" t="s">
        <v>345</v>
      </c>
      <c r="D28" s="72" t="s">
        <v>356</v>
      </c>
      <c r="E28" s="5" t="s">
        <v>24</v>
      </c>
      <c r="F28" s="5">
        <v>29</v>
      </c>
      <c r="G28" s="5" t="s">
        <v>344</v>
      </c>
      <c r="H28" s="5" t="s">
        <v>345</v>
      </c>
      <c r="I28" s="5">
        <v>2024</v>
      </c>
      <c r="J28" s="5">
        <v>16</v>
      </c>
      <c r="K28" s="5">
        <v>16</v>
      </c>
      <c r="L28" s="8">
        <v>19505670</v>
      </c>
      <c r="M28" s="8">
        <v>19505670</v>
      </c>
      <c r="N28" s="8">
        <f>M28-L28</f>
        <v>0</v>
      </c>
      <c r="O28" t="s">
        <v>45</v>
      </c>
      <c r="P28" s="5">
        <v>205</v>
      </c>
      <c r="Q28" t="s">
        <v>434</v>
      </c>
      <c r="R28" t="s">
        <v>435</v>
      </c>
      <c r="S28" t="s">
        <v>57</v>
      </c>
      <c r="T28" t="s">
        <v>31</v>
      </c>
    </row>
    <row r="29" spans="1:20" x14ac:dyDescent="0.2">
      <c r="A29" s="5" t="s">
        <v>446</v>
      </c>
      <c r="B29" s="5" t="s">
        <v>447</v>
      </c>
      <c r="C29" s="5" t="s">
        <v>345</v>
      </c>
      <c r="D29" s="5" t="s">
        <v>438</v>
      </c>
      <c r="E29" s="5" t="s">
        <v>24</v>
      </c>
      <c r="F29" s="5">
        <v>18</v>
      </c>
      <c r="G29" s="5" t="s">
        <v>439</v>
      </c>
      <c r="H29" s="5" t="s">
        <v>345</v>
      </c>
      <c r="I29" s="5">
        <v>2024</v>
      </c>
      <c r="J29" s="5" t="s">
        <v>26</v>
      </c>
      <c r="K29" s="5">
        <v>14</v>
      </c>
      <c r="L29" s="8">
        <v>0</v>
      </c>
      <c r="M29" s="8">
        <v>21353078</v>
      </c>
      <c r="N29" s="8">
        <v>21353078</v>
      </c>
      <c r="O29" t="s">
        <v>63</v>
      </c>
      <c r="P29" s="5">
        <v>195</v>
      </c>
      <c r="Q29" t="s">
        <v>27</v>
      </c>
      <c r="R29" t="s">
        <v>340</v>
      </c>
      <c r="S29" t="s">
        <v>151</v>
      </c>
      <c r="T29" t="s">
        <v>31</v>
      </c>
    </row>
    <row r="30" spans="1:20" ht="17" x14ac:dyDescent="0.2">
      <c r="A30" s="73" t="s">
        <v>343</v>
      </c>
      <c r="B30" s="73" t="s">
        <v>344</v>
      </c>
      <c r="C30" s="73" t="s">
        <v>345</v>
      </c>
      <c r="D30" s="70" t="s">
        <v>346</v>
      </c>
      <c r="E30" s="5" t="s">
        <v>24</v>
      </c>
      <c r="F30" s="5">
        <v>19</v>
      </c>
      <c r="G30" s="5" t="s">
        <v>344</v>
      </c>
      <c r="H30" s="5" t="s">
        <v>345</v>
      </c>
      <c r="I30" s="5">
        <v>2023</v>
      </c>
      <c r="J30" s="5">
        <v>8</v>
      </c>
      <c r="K30" s="5">
        <v>12</v>
      </c>
      <c r="L30" s="8">
        <v>27566102</v>
      </c>
      <c r="M30" s="8">
        <v>22282691</v>
      </c>
      <c r="N30" s="8">
        <v>-5283411</v>
      </c>
      <c r="O30" t="s">
        <v>141</v>
      </c>
      <c r="P30" s="5">
        <v>230</v>
      </c>
      <c r="Q30" t="s">
        <v>440</v>
      </c>
      <c r="R30" t="s">
        <v>29</v>
      </c>
      <c r="S30" s="13" t="s">
        <v>30</v>
      </c>
      <c r="T30" t="s">
        <v>31</v>
      </c>
    </row>
    <row r="31" spans="1:20" x14ac:dyDescent="0.2">
      <c r="A31" s="71" t="s">
        <v>343</v>
      </c>
      <c r="B31" s="71" t="s">
        <v>344</v>
      </c>
      <c r="C31" s="71" t="s">
        <v>345</v>
      </c>
      <c r="D31" s="72" t="s">
        <v>364</v>
      </c>
      <c r="E31" s="5" t="s">
        <v>24</v>
      </c>
      <c r="F31" s="5">
        <v>18</v>
      </c>
      <c r="G31" s="5" t="s">
        <v>344</v>
      </c>
      <c r="H31" s="5" t="s">
        <v>345</v>
      </c>
      <c r="I31" s="5">
        <v>2025</v>
      </c>
      <c r="J31" s="5">
        <v>8</v>
      </c>
      <c r="K31" s="5">
        <v>10</v>
      </c>
      <c r="L31" s="8">
        <v>31340682</v>
      </c>
      <c r="M31" s="8">
        <v>27386800</v>
      </c>
      <c r="N31" s="8">
        <f>M31-L31</f>
        <v>-3953882</v>
      </c>
      <c r="O31" t="s">
        <v>108</v>
      </c>
      <c r="P31" s="5">
        <v>255</v>
      </c>
      <c r="Q31" t="s">
        <v>93</v>
      </c>
      <c r="R31" t="s">
        <v>441</v>
      </c>
      <c r="T31" t="s">
        <v>442</v>
      </c>
    </row>
    <row r="32" spans="1:20" x14ac:dyDescent="0.2">
      <c r="A32" s="72" t="s">
        <v>401</v>
      </c>
      <c r="B32" s="72" t="s">
        <v>402</v>
      </c>
      <c r="C32" s="72" t="s">
        <v>345</v>
      </c>
      <c r="D32" s="72" t="s">
        <v>403</v>
      </c>
      <c r="E32" s="5" t="s">
        <v>443</v>
      </c>
      <c r="F32" s="5">
        <v>19</v>
      </c>
      <c r="G32" s="5" t="s">
        <v>249</v>
      </c>
      <c r="H32" s="5" t="s">
        <v>214</v>
      </c>
      <c r="I32" s="5">
        <v>2020</v>
      </c>
      <c r="J32" s="5" t="s">
        <v>26</v>
      </c>
      <c r="K32" s="5">
        <v>6</v>
      </c>
      <c r="L32" s="8">
        <v>0</v>
      </c>
      <c r="M32" s="8">
        <v>26422143</v>
      </c>
      <c r="N32" s="8">
        <v>26422143</v>
      </c>
      <c r="O32" t="s">
        <v>40</v>
      </c>
      <c r="P32" s="5">
        <v>235</v>
      </c>
      <c r="Q32" t="s">
        <v>108</v>
      </c>
      <c r="R32" t="s">
        <v>444</v>
      </c>
      <c r="S32" t="s">
        <v>57</v>
      </c>
      <c r="T32" t="s">
        <v>31</v>
      </c>
    </row>
    <row r="33" spans="1:20" x14ac:dyDescent="0.2">
      <c r="A33" t="s">
        <v>343</v>
      </c>
      <c r="B33" t="s">
        <v>344</v>
      </c>
      <c r="C33" t="s">
        <v>345</v>
      </c>
      <c r="D33" s="5" t="s">
        <v>362</v>
      </c>
      <c r="E33" s="5" t="s">
        <v>24</v>
      </c>
      <c r="F33" s="5">
        <v>19</v>
      </c>
      <c r="G33" s="5" t="s">
        <v>344</v>
      </c>
      <c r="H33" s="5" t="s">
        <v>345</v>
      </c>
      <c r="I33" s="5">
        <v>2025</v>
      </c>
      <c r="J33" s="5">
        <v>6</v>
      </c>
      <c r="K33" s="5">
        <v>4</v>
      </c>
      <c r="L33" s="8">
        <v>19505670</v>
      </c>
      <c r="M33" s="8">
        <v>45487014</v>
      </c>
      <c r="N33" s="8">
        <f>M33-L33</f>
        <v>25981344</v>
      </c>
      <c r="O33" t="s">
        <v>74</v>
      </c>
      <c r="P33" s="5">
        <v>215</v>
      </c>
      <c r="Q33" t="s">
        <v>49</v>
      </c>
      <c r="R33" t="s">
        <v>342</v>
      </c>
      <c r="S33" t="s">
        <v>242</v>
      </c>
      <c r="T33" t="s">
        <v>31</v>
      </c>
    </row>
    <row r="34" spans="1:20" x14ac:dyDescent="0.2">
      <c r="A34" s="72" t="s">
        <v>401</v>
      </c>
      <c r="B34" s="72" t="s">
        <v>402</v>
      </c>
      <c r="C34" s="72" t="s">
        <v>345</v>
      </c>
      <c r="D34" s="72" t="s">
        <v>406</v>
      </c>
      <c r="E34" s="5" t="s">
        <v>24</v>
      </c>
      <c r="F34" s="5">
        <v>19</v>
      </c>
      <c r="G34" s="5" t="s">
        <v>249</v>
      </c>
      <c r="H34" s="5" t="s">
        <v>214</v>
      </c>
      <c r="I34" s="5">
        <v>2021</v>
      </c>
      <c r="J34" s="5">
        <v>4</v>
      </c>
      <c r="K34" s="5">
        <v>3</v>
      </c>
      <c r="L34" s="8">
        <v>33064660</v>
      </c>
      <c r="M34" s="8">
        <v>36664177</v>
      </c>
      <c r="N34" s="8">
        <v>3599517</v>
      </c>
      <c r="O34" t="s">
        <v>36</v>
      </c>
      <c r="P34" s="5">
        <v>215</v>
      </c>
      <c r="Q34" t="s">
        <v>155</v>
      </c>
      <c r="R34" t="s">
        <v>373</v>
      </c>
      <c r="S34" t="s">
        <v>57</v>
      </c>
      <c r="T34" t="s">
        <v>31</v>
      </c>
    </row>
    <row r="35" spans="1:20" x14ac:dyDescent="0.2">
      <c r="A35" t="s">
        <v>343</v>
      </c>
      <c r="B35" t="s">
        <v>344</v>
      </c>
      <c r="C35" t="s">
        <v>345</v>
      </c>
      <c r="D35" s="5" t="s">
        <v>357</v>
      </c>
      <c r="E35" s="5" t="s">
        <v>24</v>
      </c>
      <c r="F35" s="5">
        <v>18</v>
      </c>
      <c r="G35" s="5" t="s">
        <v>344</v>
      </c>
      <c r="H35" s="5" t="s">
        <v>345</v>
      </c>
      <c r="I35" s="5">
        <v>2025</v>
      </c>
      <c r="J35" s="5">
        <v>1</v>
      </c>
      <c r="K35" s="5">
        <v>1</v>
      </c>
      <c r="L35" s="8">
        <v>62730266</v>
      </c>
      <c r="M35" s="8">
        <v>62730266</v>
      </c>
      <c r="N35" s="8">
        <f>M35-L35</f>
        <v>0</v>
      </c>
      <c r="O35" t="s">
        <v>40</v>
      </c>
      <c r="P35" s="5">
        <v>220</v>
      </c>
      <c r="Q35" t="s">
        <v>450</v>
      </c>
      <c r="R35" t="s">
        <v>451</v>
      </c>
      <c r="S35" t="s">
        <v>452</v>
      </c>
      <c r="T35" t="s">
        <v>31</v>
      </c>
    </row>
    <row r="36" spans="1:20" x14ac:dyDescent="0.2">
      <c r="A36" s="5"/>
      <c r="B36" s="5"/>
      <c r="C36" t="s">
        <v>345</v>
      </c>
      <c r="D36" s="5"/>
      <c r="E36" s="5" t="s">
        <v>204</v>
      </c>
      <c r="F36" s="5" t="s">
        <v>204</v>
      </c>
      <c r="G36" s="5" t="s">
        <v>204</v>
      </c>
      <c r="H36" s="5" t="s">
        <v>204</v>
      </c>
      <c r="I36" s="5" t="s">
        <v>204</v>
      </c>
      <c r="J36" s="5"/>
      <c r="K36" s="5"/>
      <c r="M36" s="8"/>
      <c r="N36" s="8"/>
    </row>
    <row r="37" spans="1:20" x14ac:dyDescent="0.2">
      <c r="A37" s="5"/>
      <c r="B37" s="5"/>
      <c r="C37" t="s">
        <v>345</v>
      </c>
      <c r="D37" s="5"/>
      <c r="E37" s="5" t="s">
        <v>204</v>
      </c>
      <c r="F37" s="5" t="s">
        <v>204</v>
      </c>
      <c r="G37" s="5" t="s">
        <v>204</v>
      </c>
      <c r="H37" s="5" t="s">
        <v>204</v>
      </c>
      <c r="I37" s="5" t="s">
        <v>204</v>
      </c>
      <c r="J37" s="5"/>
      <c r="K37" s="5"/>
      <c r="M37" s="8"/>
      <c r="N37" s="8"/>
    </row>
    <row r="38" spans="1:20" x14ac:dyDescent="0.2">
      <c r="A38" s="5"/>
      <c r="B38" s="5"/>
      <c r="C38" t="s">
        <v>345</v>
      </c>
      <c r="D38" s="5"/>
      <c r="E38" s="5" t="s">
        <v>204</v>
      </c>
      <c r="F38" s="5" t="s">
        <v>204</v>
      </c>
      <c r="G38" s="5" t="s">
        <v>204</v>
      </c>
      <c r="H38" s="5" t="s">
        <v>204</v>
      </c>
      <c r="I38" s="5" t="s">
        <v>204</v>
      </c>
      <c r="J38" s="5"/>
      <c r="K38" s="5"/>
      <c r="M38" s="8"/>
      <c r="N38" s="8"/>
    </row>
    <row r="39" spans="1:20" x14ac:dyDescent="0.2">
      <c r="A39" s="5"/>
      <c r="B39" s="5"/>
      <c r="C39" t="s">
        <v>345</v>
      </c>
      <c r="D39" s="5"/>
      <c r="E39" s="5" t="s">
        <v>204</v>
      </c>
      <c r="F39" s="5" t="s">
        <v>204</v>
      </c>
      <c r="G39" s="5" t="s">
        <v>204</v>
      </c>
      <c r="H39" s="5" t="s">
        <v>204</v>
      </c>
      <c r="I39" s="5" t="s">
        <v>204</v>
      </c>
      <c r="J39" s="5"/>
      <c r="K39" s="5"/>
    </row>
    <row r="40" spans="1:20" x14ac:dyDescent="0.2">
      <c r="A40" s="5"/>
      <c r="B40" s="5"/>
      <c r="C40" t="s">
        <v>345</v>
      </c>
      <c r="D40" s="5"/>
      <c r="E40" s="5" t="s">
        <v>204</v>
      </c>
      <c r="F40" s="5" t="s">
        <v>204</v>
      </c>
      <c r="G40" s="5" t="s">
        <v>204</v>
      </c>
      <c r="H40" s="5" t="s">
        <v>204</v>
      </c>
      <c r="I40" s="5" t="s">
        <v>204</v>
      </c>
      <c r="J40" s="5"/>
      <c r="K40" s="5"/>
      <c r="L40" s="8"/>
      <c r="M40" s="8"/>
      <c r="N40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5A36-02FA-E348-850F-356E362300DA}">
  <dimension ref="A1:T46"/>
  <sheetViews>
    <sheetView tabSelected="1" zoomScale="94" workbookViewId="0">
      <selection activeCell="A32" sqref="A32"/>
    </sheetView>
  </sheetViews>
  <sheetFormatPr baseColWidth="10" defaultColWidth="11" defaultRowHeight="16" x14ac:dyDescent="0.2"/>
  <cols>
    <col min="1" max="1" width="16.1640625" customWidth="1"/>
    <col min="2" max="2" width="20.33203125" customWidth="1"/>
    <col min="3" max="3" width="25.6640625" customWidth="1"/>
    <col min="4" max="4" width="16.33203125" customWidth="1"/>
    <col min="6" max="6" width="6.5" customWidth="1"/>
    <col min="7" max="7" width="11.33203125" customWidth="1"/>
    <col min="8" max="8" width="18.83203125" customWidth="1"/>
    <col min="9" max="9" width="7.33203125" customWidth="1"/>
    <col min="10" max="10" width="15.5" customWidth="1"/>
    <col min="11" max="11" width="12.33203125" customWidth="1"/>
    <col min="12" max="12" width="23.1640625" customWidth="1"/>
    <col min="13" max="13" width="15.6640625" customWidth="1"/>
    <col min="14" max="14" width="15.1640625" bestFit="1" customWidth="1"/>
    <col min="16" max="16" width="11" style="5"/>
    <col min="17" max="17" width="11.6640625" customWidth="1"/>
    <col min="18" max="18" width="13.6640625" bestFit="1" customWidth="1"/>
    <col min="19" max="19" width="13.33203125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s="35" customFormat="1" x14ac:dyDescent="0.2">
      <c r="A2" t="s">
        <v>515</v>
      </c>
      <c r="B2" t="s">
        <v>516</v>
      </c>
      <c r="C2" t="s">
        <v>456</v>
      </c>
      <c r="D2" s="1" t="s">
        <v>627</v>
      </c>
      <c r="E2" t="s">
        <v>24</v>
      </c>
      <c r="F2" s="5">
        <v>19</v>
      </c>
      <c r="G2" t="s">
        <v>518</v>
      </c>
      <c r="H2" t="s">
        <v>104</v>
      </c>
      <c r="I2" s="5">
        <v>2025</v>
      </c>
      <c r="J2" s="5">
        <v>4</v>
      </c>
      <c r="K2" s="3">
        <v>3</v>
      </c>
      <c r="L2" s="8">
        <v>50438207</v>
      </c>
      <c r="M2" s="8">
        <v>45487014</v>
      </c>
      <c r="N2" s="8">
        <f>Table4[[#This Row],[Actual Money]]-Table4[[#This Row],[Projected Money]]</f>
        <v>-4951193</v>
      </c>
      <c r="O2" t="s">
        <v>473</v>
      </c>
      <c r="P2" s="5">
        <v>180</v>
      </c>
      <c r="Q2" t="s">
        <v>628</v>
      </c>
      <c r="R2" t="s">
        <v>629</v>
      </c>
      <c r="S2"/>
      <c r="T2" t="s">
        <v>630</v>
      </c>
    </row>
    <row r="3" spans="1:20" x14ac:dyDescent="0.2">
      <c r="A3" t="s">
        <v>463</v>
      </c>
      <c r="B3" t="s">
        <v>145</v>
      </c>
      <c r="C3" t="s">
        <v>456</v>
      </c>
      <c r="D3" s="1" t="s">
        <v>624</v>
      </c>
      <c r="E3" t="s">
        <v>464</v>
      </c>
      <c r="F3" s="5">
        <v>20</v>
      </c>
      <c r="G3" t="s">
        <v>145</v>
      </c>
      <c r="H3" t="s">
        <v>104</v>
      </c>
      <c r="I3" s="5">
        <v>2022</v>
      </c>
      <c r="J3" s="5">
        <v>17</v>
      </c>
      <c r="K3" s="3">
        <v>6</v>
      </c>
      <c r="L3" s="8">
        <v>16257246</v>
      </c>
      <c r="M3" s="8">
        <v>29936173</v>
      </c>
      <c r="N3" s="8">
        <f>Table4[[#This Row],[Actual Money]]-Table4[[#This Row],[Projected Money]]</f>
        <v>13678927</v>
      </c>
      <c r="O3" t="s">
        <v>543</v>
      </c>
      <c r="P3" s="5">
        <v>195</v>
      </c>
      <c r="Q3" t="s">
        <v>503</v>
      </c>
      <c r="R3" t="s">
        <v>625</v>
      </c>
      <c r="S3" t="s">
        <v>626</v>
      </c>
      <c r="T3" t="s">
        <v>185</v>
      </c>
    </row>
    <row r="4" spans="1:20" x14ac:dyDescent="0.2">
      <c r="A4" t="s">
        <v>615</v>
      </c>
      <c r="B4" t="s">
        <v>616</v>
      </c>
      <c r="C4" t="s">
        <v>456</v>
      </c>
      <c r="D4" s="1" t="s">
        <v>617</v>
      </c>
      <c r="E4" t="s">
        <v>24</v>
      </c>
      <c r="F4" s="5">
        <v>19</v>
      </c>
      <c r="G4" t="s">
        <v>616</v>
      </c>
      <c r="H4" t="s">
        <v>456</v>
      </c>
      <c r="I4" s="5">
        <v>2025</v>
      </c>
      <c r="J4" s="3">
        <v>7</v>
      </c>
      <c r="K4" s="3">
        <v>8</v>
      </c>
      <c r="L4" s="8">
        <v>34193629</v>
      </c>
      <c r="M4" s="8">
        <v>31340682</v>
      </c>
      <c r="N4" s="8">
        <f>Table4[[#This Row],[Actual Money]]-Table4[[#This Row],[Projected Money]]</f>
        <v>-2852947</v>
      </c>
      <c r="O4" t="s">
        <v>503</v>
      </c>
      <c r="P4" s="5">
        <v>190</v>
      </c>
      <c r="Q4" t="s">
        <v>582</v>
      </c>
      <c r="R4" t="s">
        <v>618</v>
      </c>
      <c r="T4" t="s">
        <v>619</v>
      </c>
    </row>
    <row r="5" spans="1:20" x14ac:dyDescent="0.2">
      <c r="A5" t="s">
        <v>521</v>
      </c>
      <c r="B5" t="s">
        <v>522</v>
      </c>
      <c r="C5" t="s">
        <v>456</v>
      </c>
      <c r="D5" s="1" t="s">
        <v>620</v>
      </c>
      <c r="E5" t="s">
        <v>24</v>
      </c>
      <c r="F5" s="5">
        <v>19</v>
      </c>
      <c r="G5" t="s">
        <v>522</v>
      </c>
      <c r="H5" t="s">
        <v>104</v>
      </c>
      <c r="I5" s="5">
        <v>2023</v>
      </c>
      <c r="J5" s="3">
        <v>16</v>
      </c>
      <c r="K5" s="3">
        <v>8</v>
      </c>
      <c r="L5" s="8">
        <v>18816885</v>
      </c>
      <c r="M5" s="8">
        <v>27566102</v>
      </c>
      <c r="N5" s="8">
        <f>Table4[[#This Row],[Actual Money]]-Table4[[#This Row],[Projected Money]]</f>
        <v>8749217</v>
      </c>
      <c r="O5" t="s">
        <v>480</v>
      </c>
      <c r="P5" s="5">
        <v>240</v>
      </c>
      <c r="Q5" t="s">
        <v>621</v>
      </c>
      <c r="R5" t="s">
        <v>622</v>
      </c>
      <c r="S5" t="s">
        <v>623</v>
      </c>
      <c r="T5" t="s">
        <v>31</v>
      </c>
    </row>
    <row r="6" spans="1:20" x14ac:dyDescent="0.2">
      <c r="A6" t="s">
        <v>515</v>
      </c>
      <c r="B6" t="s">
        <v>516</v>
      </c>
      <c r="C6" t="s">
        <v>456</v>
      </c>
      <c r="D6" s="1" t="s">
        <v>601</v>
      </c>
      <c r="E6" t="s">
        <v>506</v>
      </c>
      <c r="F6" s="5">
        <v>22</v>
      </c>
      <c r="G6" t="s">
        <v>518</v>
      </c>
      <c r="H6" t="s">
        <v>104</v>
      </c>
      <c r="I6" s="5">
        <v>2021</v>
      </c>
      <c r="J6" s="5">
        <v>13</v>
      </c>
      <c r="K6" s="3">
        <v>9</v>
      </c>
      <c r="L6" s="8">
        <v>17704528</v>
      </c>
      <c r="M6" s="8">
        <v>20951517</v>
      </c>
      <c r="N6" s="8">
        <f>Table4[[#This Row],[Actual Money]]-Table4[[#This Row],[Projected Money]]</f>
        <v>3246989</v>
      </c>
      <c r="O6" t="s">
        <v>459</v>
      </c>
      <c r="P6" s="5">
        <v>205</v>
      </c>
      <c r="Q6" t="s">
        <v>602</v>
      </c>
      <c r="R6" s="15" t="s">
        <v>603</v>
      </c>
      <c r="S6" t="s">
        <v>604</v>
      </c>
      <c r="T6" t="s">
        <v>31</v>
      </c>
    </row>
    <row r="7" spans="1:20" x14ac:dyDescent="0.2">
      <c r="A7" t="s">
        <v>515</v>
      </c>
      <c r="B7" t="s">
        <v>516</v>
      </c>
      <c r="C7" t="s">
        <v>456</v>
      </c>
      <c r="D7" s="1" t="s">
        <v>605</v>
      </c>
      <c r="E7" t="s">
        <v>24</v>
      </c>
      <c r="F7" s="5">
        <v>19</v>
      </c>
      <c r="G7" t="s">
        <v>518</v>
      </c>
      <c r="H7" t="s">
        <v>104</v>
      </c>
      <c r="I7" s="5">
        <v>2022</v>
      </c>
      <c r="J7" s="5" t="s">
        <v>26</v>
      </c>
      <c r="K7" s="3">
        <v>9</v>
      </c>
      <c r="L7" s="8">
        <v>0</v>
      </c>
      <c r="M7" s="8">
        <v>23046751</v>
      </c>
      <c r="N7" s="8">
        <f>Table4[[#This Row],[Actual Money]]-Table4[[#This Row],[Projected Money]]</f>
        <v>23046751</v>
      </c>
      <c r="O7" t="s">
        <v>503</v>
      </c>
      <c r="P7" s="5">
        <v>230</v>
      </c>
      <c r="Q7" t="s">
        <v>512</v>
      </c>
      <c r="R7" t="s">
        <v>606</v>
      </c>
      <c r="T7" t="s">
        <v>95</v>
      </c>
    </row>
    <row r="8" spans="1:20" x14ac:dyDescent="0.2">
      <c r="A8" t="s">
        <v>607</v>
      </c>
      <c r="B8" t="s">
        <v>608</v>
      </c>
      <c r="C8" t="s">
        <v>456</v>
      </c>
      <c r="D8" s="1" t="s">
        <v>609</v>
      </c>
      <c r="E8" t="s">
        <v>24</v>
      </c>
      <c r="F8" s="5">
        <v>20</v>
      </c>
      <c r="G8" t="s">
        <v>610</v>
      </c>
      <c r="H8" t="s">
        <v>104</v>
      </c>
      <c r="I8" s="5">
        <v>2023</v>
      </c>
      <c r="J8" t="s">
        <v>611</v>
      </c>
      <c r="K8" s="3">
        <v>9</v>
      </c>
      <c r="L8" s="8">
        <v>0</v>
      </c>
      <c r="M8" s="8">
        <v>25351580</v>
      </c>
      <c r="N8" s="8">
        <f>Table4[[#This Row],[Actual Money]]-Table4[[#This Row],[Projected Money]]</f>
        <v>25351580</v>
      </c>
      <c r="O8" t="s">
        <v>503</v>
      </c>
      <c r="P8" s="5">
        <v>210</v>
      </c>
      <c r="Q8" t="s">
        <v>612</v>
      </c>
      <c r="R8" t="s">
        <v>613</v>
      </c>
      <c r="S8" t="s">
        <v>614</v>
      </c>
      <c r="T8" t="s">
        <v>31</v>
      </c>
    </row>
    <row r="9" spans="1:20" s="43" customFormat="1" x14ac:dyDescent="0.2">
      <c r="A9" t="s">
        <v>495</v>
      </c>
      <c r="B9" t="s">
        <v>496</v>
      </c>
      <c r="C9" t="s">
        <v>456</v>
      </c>
      <c r="D9" s="1" t="s">
        <v>599</v>
      </c>
      <c r="E9" t="s">
        <v>24</v>
      </c>
      <c r="F9" s="5">
        <v>19</v>
      </c>
      <c r="G9" t="s">
        <v>178</v>
      </c>
      <c r="H9" t="s">
        <v>104</v>
      </c>
      <c r="I9" s="5">
        <v>2024</v>
      </c>
      <c r="J9" s="5">
        <v>19</v>
      </c>
      <c r="K9" s="3">
        <v>10</v>
      </c>
      <c r="L9" s="8">
        <v>16834358</v>
      </c>
      <c r="M9" s="8">
        <v>24969982</v>
      </c>
      <c r="N9" s="8">
        <f>Table4[[#This Row],[Actual Money]]-Table4[[#This Row],[Projected Money]]</f>
        <v>8135624</v>
      </c>
      <c r="O9" t="s">
        <v>480</v>
      </c>
      <c r="P9" s="5">
        <v>190</v>
      </c>
      <c r="Q9" t="s">
        <v>550</v>
      </c>
      <c r="R9" t="s">
        <v>600</v>
      </c>
      <c r="S9" t="s">
        <v>580</v>
      </c>
      <c r="T9" t="s">
        <v>31</v>
      </c>
    </row>
    <row r="10" spans="1:20" s="43" customFormat="1" x14ac:dyDescent="0.2">
      <c r="A10" t="s">
        <v>466</v>
      </c>
      <c r="B10" t="s">
        <v>467</v>
      </c>
      <c r="C10" t="s">
        <v>456</v>
      </c>
      <c r="D10" s="1" t="s">
        <v>595</v>
      </c>
      <c r="E10" t="s">
        <v>24</v>
      </c>
      <c r="F10" s="5">
        <v>19</v>
      </c>
      <c r="G10" t="s">
        <v>467</v>
      </c>
      <c r="H10" t="s">
        <v>596</v>
      </c>
      <c r="I10" s="5">
        <v>2023</v>
      </c>
      <c r="J10" s="3">
        <v>18</v>
      </c>
      <c r="K10" s="3">
        <v>13</v>
      </c>
      <c r="L10" s="8">
        <v>16997141</v>
      </c>
      <c r="M10" s="8">
        <v>21422551</v>
      </c>
      <c r="N10" s="8">
        <f>Table4[[#This Row],[Actual Money]]-Table4[[#This Row],[Projected Money]]</f>
        <v>4425410</v>
      </c>
      <c r="O10" t="s">
        <v>480</v>
      </c>
      <c r="P10" s="5">
        <v>205</v>
      </c>
      <c r="Q10" t="s">
        <v>597</v>
      </c>
      <c r="R10" t="s">
        <v>598</v>
      </c>
      <c r="S10" t="s">
        <v>574</v>
      </c>
      <c r="T10" t="s">
        <v>31</v>
      </c>
    </row>
    <row r="11" spans="1:20" x14ac:dyDescent="0.2">
      <c r="A11" t="s">
        <v>463</v>
      </c>
      <c r="B11" t="s">
        <v>145</v>
      </c>
      <c r="C11" t="s">
        <v>456</v>
      </c>
      <c r="D11" s="1" t="s">
        <v>589</v>
      </c>
      <c r="E11" t="s">
        <v>24</v>
      </c>
      <c r="F11" s="5">
        <v>19</v>
      </c>
      <c r="G11" t="s">
        <v>145</v>
      </c>
      <c r="H11" t="s">
        <v>104</v>
      </c>
      <c r="I11" s="5">
        <v>2025</v>
      </c>
      <c r="J11" s="5">
        <v>15</v>
      </c>
      <c r="K11" s="5">
        <v>14</v>
      </c>
      <c r="L11" s="8">
        <v>22512733</v>
      </c>
      <c r="M11" s="8">
        <v>23419859</v>
      </c>
      <c r="N11" s="8">
        <f>Table4[[#This Row],[Actual Money]]-Table4[[#This Row],[Projected Money]]</f>
        <v>907126</v>
      </c>
      <c r="O11" t="s">
        <v>480</v>
      </c>
      <c r="P11" s="5">
        <v>225</v>
      </c>
      <c r="Q11" t="s">
        <v>590</v>
      </c>
      <c r="R11" t="s">
        <v>591</v>
      </c>
      <c r="S11" t="s">
        <v>482</v>
      </c>
      <c r="T11" t="s">
        <v>31</v>
      </c>
    </row>
    <row r="12" spans="1:20" x14ac:dyDescent="0.2">
      <c r="A12" t="s">
        <v>466</v>
      </c>
      <c r="B12" t="s">
        <v>467</v>
      </c>
      <c r="C12" t="s">
        <v>456</v>
      </c>
      <c r="D12" s="1" t="s">
        <v>592</v>
      </c>
      <c r="E12" t="s">
        <v>39</v>
      </c>
      <c r="F12" s="5">
        <v>22</v>
      </c>
      <c r="G12" t="s">
        <v>467</v>
      </c>
      <c r="H12" t="s">
        <v>104</v>
      </c>
      <c r="I12" s="5">
        <v>2022</v>
      </c>
      <c r="J12" s="3">
        <v>23</v>
      </c>
      <c r="K12" s="3">
        <v>14</v>
      </c>
      <c r="L12" s="8">
        <v>12985886</v>
      </c>
      <c r="M12" s="8">
        <v>18726365</v>
      </c>
      <c r="N12" s="8">
        <f>Table4[[#This Row],[Actual Money]]-Table4[[#This Row],[Projected Money]]</f>
        <v>5740479</v>
      </c>
      <c r="O12" t="s">
        <v>473</v>
      </c>
      <c r="P12" s="5">
        <v>210</v>
      </c>
      <c r="Q12" t="s">
        <v>480</v>
      </c>
      <c r="R12" t="s">
        <v>593</v>
      </c>
      <c r="S12" t="s">
        <v>594</v>
      </c>
      <c r="T12" t="s">
        <v>31</v>
      </c>
    </row>
    <row r="13" spans="1:20" x14ac:dyDescent="0.2">
      <c r="A13" t="s">
        <v>515</v>
      </c>
      <c r="B13" t="s">
        <v>516</v>
      </c>
      <c r="C13" t="s">
        <v>456</v>
      </c>
      <c r="D13" s="1" t="s">
        <v>585</v>
      </c>
      <c r="E13" t="s">
        <v>24</v>
      </c>
      <c r="F13" s="5">
        <v>19</v>
      </c>
      <c r="G13" t="s">
        <v>518</v>
      </c>
      <c r="H13" t="s">
        <v>104</v>
      </c>
      <c r="I13" s="5">
        <v>2023</v>
      </c>
      <c r="J13" s="5">
        <v>10</v>
      </c>
      <c r="K13" s="3">
        <v>16</v>
      </c>
      <c r="L13" s="8">
        <v>24088326</v>
      </c>
      <c r="M13" s="8">
        <v>18816885</v>
      </c>
      <c r="N13" s="8">
        <f>Table4[[#This Row],[Actual Money]]-Table4[[#This Row],[Projected Money]]</f>
        <v>-5271441</v>
      </c>
      <c r="O13" t="s">
        <v>586</v>
      </c>
      <c r="P13" s="5">
        <v>185</v>
      </c>
      <c r="Q13" t="s">
        <v>587</v>
      </c>
      <c r="R13" t="s">
        <v>588</v>
      </c>
      <c r="S13" t="s">
        <v>462</v>
      </c>
      <c r="T13" t="s">
        <v>31</v>
      </c>
    </row>
    <row r="14" spans="1:20" x14ac:dyDescent="0.2">
      <c r="A14" t="s">
        <v>463</v>
      </c>
      <c r="B14" t="s">
        <v>145</v>
      </c>
      <c r="C14" t="s">
        <v>456</v>
      </c>
      <c r="D14" s="1" t="s">
        <v>577</v>
      </c>
      <c r="E14" t="s">
        <v>464</v>
      </c>
      <c r="F14" s="5">
        <v>20</v>
      </c>
      <c r="G14" t="s">
        <v>145</v>
      </c>
      <c r="H14" t="s">
        <v>104</v>
      </c>
      <c r="I14" s="5">
        <v>2022</v>
      </c>
      <c r="J14" s="1" t="s">
        <v>26</v>
      </c>
      <c r="K14" s="3">
        <v>18</v>
      </c>
      <c r="L14" s="8">
        <v>0</v>
      </c>
      <c r="M14" s="8">
        <v>15451758</v>
      </c>
      <c r="N14" s="8">
        <f>Table4[[#This Row],[Actual Money]]-Table4[[#This Row],[Projected Money]]</f>
        <v>15451758</v>
      </c>
      <c r="O14" t="s">
        <v>543</v>
      </c>
      <c r="P14" s="5">
        <v>195</v>
      </c>
      <c r="Q14" t="s">
        <v>578</v>
      </c>
      <c r="R14" t="s">
        <v>579</v>
      </c>
      <c r="S14" t="s">
        <v>580</v>
      </c>
      <c r="T14" t="s">
        <v>31</v>
      </c>
    </row>
    <row r="15" spans="1:20" s="43" customFormat="1" x14ac:dyDescent="0.2">
      <c r="A15" t="s">
        <v>495</v>
      </c>
      <c r="B15" t="s">
        <v>496</v>
      </c>
      <c r="C15" t="s">
        <v>456</v>
      </c>
      <c r="D15" s="1" t="s">
        <v>581</v>
      </c>
      <c r="E15" t="s">
        <v>267</v>
      </c>
      <c r="F15" s="5">
        <v>23</v>
      </c>
      <c r="G15" t="s">
        <v>178</v>
      </c>
      <c r="H15" t="s">
        <v>104</v>
      </c>
      <c r="I15" s="5">
        <v>2024</v>
      </c>
      <c r="J15" s="5">
        <v>43</v>
      </c>
      <c r="K15" s="3">
        <v>18</v>
      </c>
      <c r="L15" s="8">
        <v>560000</v>
      </c>
      <c r="M15" s="8">
        <v>17619313</v>
      </c>
      <c r="N15" s="8">
        <f>Table4[[#This Row],[Actual Money]]-Table4[[#This Row],[Projected Money]]</f>
        <v>17059313</v>
      </c>
      <c r="O15" t="s">
        <v>480</v>
      </c>
      <c r="P15" s="5">
        <v>200</v>
      </c>
      <c r="Q15" t="s">
        <v>582</v>
      </c>
      <c r="R15" t="s">
        <v>583</v>
      </c>
      <c r="S15"/>
      <c r="T15" t="s">
        <v>584</v>
      </c>
    </row>
    <row r="16" spans="1:20" s="43" customFormat="1" x14ac:dyDescent="0.2">
      <c r="A16" t="s">
        <v>515</v>
      </c>
      <c r="B16" t="s">
        <v>516</v>
      </c>
      <c r="C16" t="s">
        <v>456</v>
      </c>
      <c r="D16" s="1" t="s">
        <v>575</v>
      </c>
      <c r="E16" t="s">
        <v>24</v>
      </c>
      <c r="F16" s="5">
        <v>19</v>
      </c>
      <c r="G16" t="s">
        <v>518</v>
      </c>
      <c r="H16" t="s">
        <v>104</v>
      </c>
      <c r="I16" s="5">
        <v>2024</v>
      </c>
      <c r="J16" s="5">
        <v>15</v>
      </c>
      <c r="K16" s="3">
        <v>19</v>
      </c>
      <c r="L16" s="8">
        <v>20526024</v>
      </c>
      <c r="M16" s="8">
        <v>16834358</v>
      </c>
      <c r="N16" s="8">
        <f>Table4[[#This Row],[Actual Money]]-Table4[[#This Row],[Projected Money]]</f>
        <v>-3691666</v>
      </c>
      <c r="O16" t="s">
        <v>473</v>
      </c>
      <c r="P16" s="5">
        <v>195</v>
      </c>
      <c r="Q16" t="s">
        <v>569</v>
      </c>
      <c r="R16" t="s">
        <v>576</v>
      </c>
      <c r="S16" t="s">
        <v>462</v>
      </c>
      <c r="T16" t="s">
        <v>31</v>
      </c>
    </row>
    <row r="17" spans="1:20" x14ac:dyDescent="0.2">
      <c r="A17" t="s">
        <v>515</v>
      </c>
      <c r="B17" t="s">
        <v>516</v>
      </c>
      <c r="C17" t="s">
        <v>456</v>
      </c>
      <c r="D17" s="1" t="s">
        <v>568</v>
      </c>
      <c r="E17" t="s">
        <v>24</v>
      </c>
      <c r="F17" s="5">
        <v>20</v>
      </c>
      <c r="G17" t="s">
        <v>518</v>
      </c>
      <c r="H17" t="s">
        <v>104</v>
      </c>
      <c r="I17" s="5">
        <v>2024</v>
      </c>
      <c r="J17" s="5" t="s">
        <v>26</v>
      </c>
      <c r="K17" s="3">
        <v>21</v>
      </c>
      <c r="L17" s="8">
        <v>0</v>
      </c>
      <c r="M17" s="8">
        <v>15700787</v>
      </c>
      <c r="N17" s="8">
        <f>Table4[[#This Row],[Actual Money]]-Table4[[#This Row],[Projected Money]]</f>
        <v>15700787</v>
      </c>
      <c r="O17" t="s">
        <v>569</v>
      </c>
      <c r="P17" s="5">
        <v>235</v>
      </c>
      <c r="Q17" t="s">
        <v>465</v>
      </c>
      <c r="R17" t="s">
        <v>570</v>
      </c>
      <c r="T17" t="s">
        <v>553</v>
      </c>
    </row>
    <row r="18" spans="1:20" x14ac:dyDescent="0.2">
      <c r="A18" t="s">
        <v>466</v>
      </c>
      <c r="B18" t="s">
        <v>467</v>
      </c>
      <c r="C18" t="s">
        <v>456</v>
      </c>
      <c r="D18" s="1" t="s">
        <v>571</v>
      </c>
      <c r="E18" t="s">
        <v>216</v>
      </c>
      <c r="F18" s="5">
        <v>21</v>
      </c>
      <c r="G18" t="s">
        <v>467</v>
      </c>
      <c r="H18" t="s">
        <v>104</v>
      </c>
      <c r="I18" s="5">
        <v>2022</v>
      </c>
      <c r="J18" s="3" t="s">
        <v>26</v>
      </c>
      <c r="K18" s="3">
        <v>21</v>
      </c>
      <c r="L18" s="8">
        <v>0</v>
      </c>
      <c r="M18" s="8">
        <v>13769157</v>
      </c>
      <c r="N18" s="8">
        <f>Table4[[#This Row],[Actual Money]]-Table4[[#This Row],[Projected Money]]</f>
        <v>13769157</v>
      </c>
      <c r="O18" t="s">
        <v>502</v>
      </c>
      <c r="P18" s="5">
        <v>205</v>
      </c>
      <c r="Q18" t="s">
        <v>572</v>
      </c>
      <c r="R18" t="s">
        <v>573</v>
      </c>
      <c r="S18" t="s">
        <v>574</v>
      </c>
      <c r="T18" t="s">
        <v>31</v>
      </c>
    </row>
    <row r="19" spans="1:20" x14ac:dyDescent="0.2">
      <c r="A19" t="s">
        <v>476</v>
      </c>
      <c r="B19" t="s">
        <v>477</v>
      </c>
      <c r="C19" t="s">
        <v>456</v>
      </c>
      <c r="D19" s="1" t="s">
        <v>565</v>
      </c>
      <c r="E19" t="s">
        <v>24</v>
      </c>
      <c r="F19" s="5">
        <v>19</v>
      </c>
      <c r="G19" t="s">
        <v>479</v>
      </c>
      <c r="H19" t="s">
        <v>104</v>
      </c>
      <c r="I19" s="5">
        <v>2021</v>
      </c>
      <c r="J19" s="3">
        <v>11</v>
      </c>
      <c r="K19" s="3">
        <v>24</v>
      </c>
      <c r="L19" s="8">
        <v>19151217</v>
      </c>
      <c r="M19" s="8">
        <v>11463215</v>
      </c>
      <c r="N19" s="8">
        <f>Table4[[#This Row],[Actual Money]]-Table4[[#This Row],[Projected Money]]</f>
        <v>-7688002</v>
      </c>
      <c r="O19" t="s">
        <v>473</v>
      </c>
      <c r="P19" s="5">
        <v>215</v>
      </c>
      <c r="Q19" t="s">
        <v>566</v>
      </c>
      <c r="R19" t="s">
        <v>567</v>
      </c>
      <c r="S19" t="s">
        <v>482</v>
      </c>
      <c r="T19" t="s">
        <v>31</v>
      </c>
    </row>
    <row r="20" spans="1:20" x14ac:dyDescent="0.2">
      <c r="A20" t="s">
        <v>521</v>
      </c>
      <c r="B20" t="s">
        <v>522</v>
      </c>
      <c r="C20" t="s">
        <v>456</v>
      </c>
      <c r="D20" s="1" t="s">
        <v>561</v>
      </c>
      <c r="E20" t="s">
        <v>107</v>
      </c>
      <c r="F20" s="5">
        <v>21</v>
      </c>
      <c r="G20" t="s">
        <v>522</v>
      </c>
      <c r="H20" t="s">
        <v>104</v>
      </c>
      <c r="I20" s="5">
        <v>2021</v>
      </c>
      <c r="J20" s="3" t="s">
        <v>26</v>
      </c>
      <c r="K20" s="3">
        <v>25</v>
      </c>
      <c r="L20" s="8">
        <v>0</v>
      </c>
      <c r="M20" s="8">
        <v>11128042</v>
      </c>
      <c r="N20" s="8">
        <f>Table4[[#This Row],[Actual Money]]-Table4[[#This Row],[Projected Money]]</f>
        <v>11128042</v>
      </c>
      <c r="O20" t="s">
        <v>473</v>
      </c>
      <c r="P20" s="5">
        <v>205</v>
      </c>
      <c r="Q20" t="s">
        <v>480</v>
      </c>
      <c r="R20" t="s">
        <v>562</v>
      </c>
      <c r="S20" t="s">
        <v>462</v>
      </c>
      <c r="T20" t="s">
        <v>31</v>
      </c>
    </row>
    <row r="21" spans="1:20" s="43" customFormat="1" x14ac:dyDescent="0.2">
      <c r="A21" t="s">
        <v>521</v>
      </c>
      <c r="B21" t="s">
        <v>522</v>
      </c>
      <c r="C21" t="s">
        <v>456</v>
      </c>
      <c r="D21" s="1" t="s">
        <v>563</v>
      </c>
      <c r="E21" t="s">
        <v>39</v>
      </c>
      <c r="F21" s="5">
        <v>22</v>
      </c>
      <c r="G21" t="s">
        <v>522</v>
      </c>
      <c r="H21" t="s">
        <v>104</v>
      </c>
      <c r="I21" s="5">
        <v>2023</v>
      </c>
      <c r="J21" s="3">
        <v>27</v>
      </c>
      <c r="K21" s="3">
        <v>25</v>
      </c>
      <c r="L21" s="8">
        <v>12651907</v>
      </c>
      <c r="M21" s="8">
        <v>13464823</v>
      </c>
      <c r="N21" s="8">
        <f>Table4[[#This Row],[Actual Money]]-Table4[[#This Row],[Projected Money]]</f>
        <v>812916</v>
      </c>
      <c r="O21" t="s">
        <v>524</v>
      </c>
      <c r="P21" s="5">
        <v>190</v>
      </c>
      <c r="Q21" t="s">
        <v>543</v>
      </c>
      <c r="R21" t="s">
        <v>564</v>
      </c>
      <c r="S21" t="s">
        <v>462</v>
      </c>
      <c r="T21" t="s">
        <v>31</v>
      </c>
    </row>
    <row r="22" spans="1:20" s="43" customFormat="1" x14ac:dyDescent="0.2">
      <c r="A22" t="s">
        <v>466</v>
      </c>
      <c r="B22" t="s">
        <v>467</v>
      </c>
      <c r="C22" t="s">
        <v>456</v>
      </c>
      <c r="D22" s="1" t="s">
        <v>558</v>
      </c>
      <c r="E22" t="s">
        <v>267</v>
      </c>
      <c r="F22" s="5">
        <v>21</v>
      </c>
      <c r="G22" t="s">
        <v>467</v>
      </c>
      <c r="H22" t="s">
        <v>104</v>
      </c>
      <c r="I22" s="5">
        <v>2020</v>
      </c>
      <c r="J22" s="3" t="s">
        <v>26</v>
      </c>
      <c r="K22" s="3">
        <v>27</v>
      </c>
      <c r="L22" s="8">
        <v>0</v>
      </c>
      <c r="M22" s="8">
        <v>10151244</v>
      </c>
      <c r="N22" s="8">
        <f>Table4[[#This Row],[Actual Money]]-Table4[[#This Row],[Projected Money]]</f>
        <v>10151244</v>
      </c>
      <c r="O22" t="s">
        <v>512</v>
      </c>
      <c r="P22" s="5">
        <v>270</v>
      </c>
      <c r="Q22" t="s">
        <v>559</v>
      </c>
      <c r="R22" t="s">
        <v>560</v>
      </c>
      <c r="S22"/>
      <c r="T22" t="s">
        <v>274</v>
      </c>
    </row>
    <row r="23" spans="1:20" x14ac:dyDescent="0.2">
      <c r="A23" t="s">
        <v>454</v>
      </c>
      <c r="B23" t="s">
        <v>455</v>
      </c>
      <c r="C23" t="s">
        <v>456</v>
      </c>
      <c r="D23" s="1" t="s">
        <v>554</v>
      </c>
      <c r="E23" t="s">
        <v>39</v>
      </c>
      <c r="F23" s="5">
        <v>22</v>
      </c>
      <c r="G23" t="s">
        <v>458</v>
      </c>
      <c r="H23" t="s">
        <v>456</v>
      </c>
      <c r="I23" s="5">
        <v>2020</v>
      </c>
      <c r="J23" s="5" t="s">
        <v>26</v>
      </c>
      <c r="K23" s="3">
        <v>30</v>
      </c>
      <c r="L23" s="8">
        <v>0</v>
      </c>
      <c r="M23" s="8">
        <v>9944923</v>
      </c>
      <c r="N23" s="8">
        <f>Table4[[#This Row],[Actual Money]]-Table4[[#This Row],[Projected Money]]</f>
        <v>9944923</v>
      </c>
      <c r="O23" t="s">
        <v>502</v>
      </c>
      <c r="P23" s="5">
        <v>215</v>
      </c>
      <c r="Q23" t="s">
        <v>555</v>
      </c>
      <c r="R23" t="s">
        <v>556</v>
      </c>
      <c r="S23" t="s">
        <v>557</v>
      </c>
      <c r="T23" t="s">
        <v>31</v>
      </c>
    </row>
    <row r="24" spans="1:20" x14ac:dyDescent="0.2">
      <c r="A24" s="43" t="s">
        <v>463</v>
      </c>
      <c r="B24" s="43" t="s">
        <v>145</v>
      </c>
      <c r="C24" s="43" t="s">
        <v>456</v>
      </c>
      <c r="D24" s="49" t="s">
        <v>549</v>
      </c>
      <c r="E24" s="43" t="s">
        <v>107</v>
      </c>
      <c r="F24" s="44">
        <v>21</v>
      </c>
      <c r="G24" s="43" t="s">
        <v>145</v>
      </c>
      <c r="H24" s="43" t="s">
        <v>104</v>
      </c>
      <c r="I24" s="44">
        <v>2022</v>
      </c>
      <c r="J24" s="49" t="s">
        <v>26</v>
      </c>
      <c r="K24" s="50">
        <v>33</v>
      </c>
      <c r="L24" s="45">
        <v>0</v>
      </c>
      <c r="M24" s="45">
        <v>3219864</v>
      </c>
      <c r="N24" s="45">
        <f>Table4[[#This Row],[Actual Money]]-Table4[[#This Row],[Projected Money]]</f>
        <v>3219864</v>
      </c>
      <c r="O24" s="43" t="s">
        <v>550</v>
      </c>
      <c r="P24" s="44">
        <v>225</v>
      </c>
      <c r="Q24" s="43" t="s">
        <v>551</v>
      </c>
      <c r="R24" s="43" t="s">
        <v>552</v>
      </c>
      <c r="S24" s="43"/>
      <c r="T24" s="43" t="s">
        <v>553</v>
      </c>
    </row>
    <row r="25" spans="1:20" x14ac:dyDescent="0.2">
      <c r="A25" s="43" t="s">
        <v>466</v>
      </c>
      <c r="B25" s="43" t="s">
        <v>467</v>
      </c>
      <c r="C25" s="43" t="s">
        <v>456</v>
      </c>
      <c r="D25" s="49" t="s">
        <v>547</v>
      </c>
      <c r="E25" s="43" t="s">
        <v>24</v>
      </c>
      <c r="F25" s="44">
        <v>19</v>
      </c>
      <c r="G25" s="43" t="s">
        <v>467</v>
      </c>
      <c r="H25" s="43" t="s">
        <v>104</v>
      </c>
      <c r="I25" s="44">
        <v>2024</v>
      </c>
      <c r="J25" s="50" t="s">
        <v>26</v>
      </c>
      <c r="K25" s="50">
        <v>35</v>
      </c>
      <c r="L25" s="45">
        <v>0</v>
      </c>
      <c r="M25" s="45">
        <v>6102490</v>
      </c>
      <c r="N25" s="45">
        <f>Table4[[#This Row],[Actual Money]]-Table4[[#This Row],[Projected Money]]</f>
        <v>6102490</v>
      </c>
      <c r="O25" s="43" t="s">
        <v>503</v>
      </c>
      <c r="P25" s="44">
        <v>202</v>
      </c>
      <c r="Q25" s="43" t="s">
        <v>480</v>
      </c>
      <c r="R25" s="43" t="s">
        <v>548</v>
      </c>
      <c r="S25" s="43"/>
      <c r="T25" s="43" t="s">
        <v>175</v>
      </c>
    </row>
    <row r="26" spans="1:20" x14ac:dyDescent="0.2">
      <c r="A26" t="s">
        <v>495</v>
      </c>
      <c r="B26" t="s">
        <v>496</v>
      </c>
      <c r="C26" t="s">
        <v>456</v>
      </c>
      <c r="D26" s="1" t="s">
        <v>542</v>
      </c>
      <c r="E26" t="s">
        <v>216</v>
      </c>
      <c r="F26" s="5">
        <v>22</v>
      </c>
      <c r="G26" t="s">
        <v>178</v>
      </c>
      <c r="H26" t="s">
        <v>104</v>
      </c>
      <c r="I26" s="5">
        <v>2020</v>
      </c>
      <c r="J26" s="1" t="s">
        <v>26</v>
      </c>
      <c r="K26" s="3">
        <v>36</v>
      </c>
      <c r="L26" s="8">
        <v>0</v>
      </c>
      <c r="M26" s="8">
        <v>560000</v>
      </c>
      <c r="N26" s="8">
        <f>Table4[[#This Row],[Actual Money]]-Table4[[#This Row],[Projected Money]]</f>
        <v>560000</v>
      </c>
      <c r="O26" t="s">
        <v>543</v>
      </c>
      <c r="P26" s="5">
        <v>218</v>
      </c>
      <c r="Q26" t="s">
        <v>544</v>
      </c>
      <c r="R26" t="s">
        <v>545</v>
      </c>
      <c r="S26" t="s">
        <v>546</v>
      </c>
      <c r="T26" t="s">
        <v>31</v>
      </c>
    </row>
    <row r="27" spans="1:20" x14ac:dyDescent="0.2">
      <c r="A27" t="s">
        <v>489</v>
      </c>
      <c r="B27" t="s">
        <v>490</v>
      </c>
      <c r="C27" t="s">
        <v>456</v>
      </c>
      <c r="D27" s="1" t="s">
        <v>537</v>
      </c>
      <c r="E27" t="s">
        <v>216</v>
      </c>
      <c r="F27" s="5">
        <v>21</v>
      </c>
      <c r="G27" t="s">
        <v>538</v>
      </c>
      <c r="H27" t="s">
        <v>456</v>
      </c>
      <c r="I27" s="5">
        <v>2021</v>
      </c>
      <c r="J27" t="s">
        <v>26</v>
      </c>
      <c r="K27" s="3">
        <v>39</v>
      </c>
      <c r="L27" s="8">
        <v>0</v>
      </c>
      <c r="M27" s="8">
        <v>560000</v>
      </c>
      <c r="N27" s="8">
        <f>Table4[[#This Row],[Actual Money]]-Table4[[#This Row],[Projected Money]]</f>
        <v>560000</v>
      </c>
      <c r="O27" t="s">
        <v>512</v>
      </c>
      <c r="P27" s="5">
        <v>245</v>
      </c>
      <c r="Q27" t="s">
        <v>539</v>
      </c>
      <c r="R27" t="s">
        <v>540</v>
      </c>
      <c r="T27" t="s">
        <v>541</v>
      </c>
    </row>
    <row r="28" spans="1:20" x14ac:dyDescent="0.2">
      <c r="A28" t="s">
        <v>515</v>
      </c>
      <c r="B28" t="s">
        <v>516</v>
      </c>
      <c r="C28" t="s">
        <v>456</v>
      </c>
      <c r="D28" s="1" t="s">
        <v>533</v>
      </c>
      <c r="E28" t="s">
        <v>107</v>
      </c>
      <c r="F28" s="5">
        <v>21</v>
      </c>
      <c r="G28" t="s">
        <v>518</v>
      </c>
      <c r="H28" t="s">
        <v>104</v>
      </c>
      <c r="I28" s="5">
        <v>2021</v>
      </c>
      <c r="J28" s="5">
        <v>27</v>
      </c>
      <c r="K28" s="3">
        <v>40</v>
      </c>
      <c r="L28" s="8">
        <v>5345500</v>
      </c>
      <c r="M28" s="8">
        <v>1248800</v>
      </c>
      <c r="N28" s="8">
        <f>Table4[[#This Row],[Actual Money]]-Table4[[#This Row],[Projected Money]]</f>
        <v>-4096700</v>
      </c>
      <c r="O28" t="s">
        <v>525</v>
      </c>
      <c r="P28" s="5">
        <v>195</v>
      </c>
      <c r="Q28" t="s">
        <v>534</v>
      </c>
      <c r="R28" t="s">
        <v>535</v>
      </c>
      <c r="S28" t="s">
        <v>536</v>
      </c>
      <c r="T28" t="s">
        <v>31</v>
      </c>
    </row>
    <row r="29" spans="1:20" x14ac:dyDescent="0.2">
      <c r="A29" t="s">
        <v>495</v>
      </c>
      <c r="B29" t="s">
        <v>496</v>
      </c>
      <c r="C29" t="s">
        <v>456</v>
      </c>
      <c r="D29" s="1" t="s">
        <v>530</v>
      </c>
      <c r="E29" t="s">
        <v>216</v>
      </c>
      <c r="F29" s="5">
        <v>21</v>
      </c>
      <c r="G29" t="s">
        <v>178</v>
      </c>
      <c r="H29" t="s">
        <v>104</v>
      </c>
      <c r="I29" s="5">
        <v>2024</v>
      </c>
      <c r="J29" s="5" t="s">
        <v>26</v>
      </c>
      <c r="K29" s="3">
        <v>42</v>
      </c>
      <c r="L29" s="8">
        <v>0</v>
      </c>
      <c r="M29" s="8">
        <v>560000</v>
      </c>
      <c r="N29" s="8">
        <f>Table4[[#This Row],[Actual Money]]-Table4[[#This Row],[Projected Money]]</f>
        <v>560000</v>
      </c>
      <c r="O29" t="s">
        <v>459</v>
      </c>
      <c r="P29" s="5">
        <v>175</v>
      </c>
      <c r="Q29" t="s">
        <v>531</v>
      </c>
      <c r="R29" t="s">
        <v>532</v>
      </c>
      <c r="S29" t="s">
        <v>482</v>
      </c>
      <c r="T29" t="s">
        <v>31</v>
      </c>
    </row>
    <row r="30" spans="1:20" x14ac:dyDescent="0.2">
      <c r="A30" s="43" t="s">
        <v>463</v>
      </c>
      <c r="B30" s="43" t="s">
        <v>145</v>
      </c>
      <c r="C30" s="43" t="s">
        <v>456</v>
      </c>
      <c r="D30" s="49" t="s">
        <v>527</v>
      </c>
      <c r="E30" s="43" t="s">
        <v>39</v>
      </c>
      <c r="F30" s="44">
        <v>22</v>
      </c>
      <c r="G30" s="43" t="s">
        <v>145</v>
      </c>
      <c r="H30" s="43" t="s">
        <v>104</v>
      </c>
      <c r="I30" s="44">
        <v>2024</v>
      </c>
      <c r="J30" s="44" t="s">
        <v>26</v>
      </c>
      <c r="K30" s="50">
        <v>44</v>
      </c>
      <c r="L30" s="45">
        <v>0</v>
      </c>
      <c r="M30" s="45">
        <v>2154842</v>
      </c>
      <c r="N30" s="45">
        <f>Table4[[#This Row],[Actual Money]]-Table4[[#This Row],[Projected Money]]</f>
        <v>2154842</v>
      </c>
      <c r="O30" s="43" t="s">
        <v>473</v>
      </c>
      <c r="P30" s="44">
        <v>208</v>
      </c>
      <c r="Q30" s="43" t="s">
        <v>503</v>
      </c>
      <c r="R30" s="43" t="s">
        <v>528</v>
      </c>
      <c r="S30" s="43"/>
      <c r="T30" s="43" t="s">
        <v>529</v>
      </c>
    </row>
    <row r="31" spans="1:20" x14ac:dyDescent="0.2">
      <c r="A31" s="43" t="s">
        <v>1026</v>
      </c>
      <c r="B31" s="43" t="s">
        <v>522</v>
      </c>
      <c r="C31" s="43" t="s">
        <v>456</v>
      </c>
      <c r="D31" s="49" t="s">
        <v>523</v>
      </c>
      <c r="E31" s="43" t="s">
        <v>39</v>
      </c>
      <c r="F31" s="44">
        <v>22</v>
      </c>
      <c r="G31" s="43" t="s">
        <v>522</v>
      </c>
      <c r="H31" s="43" t="s">
        <v>104</v>
      </c>
      <c r="I31" s="44">
        <v>2024</v>
      </c>
      <c r="J31" s="50" t="s">
        <v>26</v>
      </c>
      <c r="K31" s="50">
        <v>45</v>
      </c>
      <c r="L31" s="45">
        <v>0</v>
      </c>
      <c r="M31" s="45">
        <v>3817642</v>
      </c>
      <c r="N31" s="45">
        <f>Table4[[#This Row],[Actual Money]]-Table4[[#This Row],[Projected Money]]</f>
        <v>3817642</v>
      </c>
      <c r="O31" s="43" t="s">
        <v>524</v>
      </c>
      <c r="P31" s="44">
        <v>190</v>
      </c>
      <c r="Q31" s="43" t="s">
        <v>525</v>
      </c>
      <c r="R31" s="43" t="s">
        <v>526</v>
      </c>
      <c r="S31" s="43" t="s">
        <v>462</v>
      </c>
      <c r="T31" s="43" t="s">
        <v>31</v>
      </c>
    </row>
    <row r="32" spans="1:20" x14ac:dyDescent="0.2">
      <c r="A32" t="s">
        <v>515</v>
      </c>
      <c r="B32" t="s">
        <v>516</v>
      </c>
      <c r="C32" t="s">
        <v>456</v>
      </c>
      <c r="D32" s="1" t="s">
        <v>517</v>
      </c>
      <c r="E32" t="s">
        <v>24</v>
      </c>
      <c r="F32" s="5">
        <v>19</v>
      </c>
      <c r="G32" t="s">
        <v>518</v>
      </c>
      <c r="H32" t="s">
        <v>104</v>
      </c>
      <c r="I32" s="5">
        <v>2022</v>
      </c>
      <c r="J32" s="5" t="s">
        <v>26</v>
      </c>
      <c r="K32" s="3">
        <v>48</v>
      </c>
      <c r="L32" s="8">
        <v>0</v>
      </c>
      <c r="M32" s="8">
        <v>560000</v>
      </c>
      <c r="N32" s="8">
        <v>560000</v>
      </c>
      <c r="O32" t="s">
        <v>480</v>
      </c>
      <c r="P32" s="5">
        <v>203</v>
      </c>
      <c r="Q32" t="s">
        <v>481</v>
      </c>
      <c r="R32" t="s">
        <v>519</v>
      </c>
      <c r="S32" t="s">
        <v>520</v>
      </c>
      <c r="T32" t="s">
        <v>31</v>
      </c>
    </row>
    <row r="33" spans="1:20" x14ac:dyDescent="0.2">
      <c r="A33" t="s">
        <v>508</v>
      </c>
      <c r="B33" t="s">
        <v>509</v>
      </c>
      <c r="C33" t="s">
        <v>456</v>
      </c>
      <c r="D33" s="1" t="s">
        <v>510</v>
      </c>
      <c r="E33" t="s">
        <v>501</v>
      </c>
      <c r="F33" s="5">
        <v>23</v>
      </c>
      <c r="G33" t="s">
        <v>511</v>
      </c>
      <c r="H33" t="s">
        <v>104</v>
      </c>
      <c r="I33" s="5">
        <v>2023</v>
      </c>
      <c r="J33" s="1" t="s">
        <v>26</v>
      </c>
      <c r="K33" s="3">
        <v>50</v>
      </c>
      <c r="L33" s="8">
        <v>0</v>
      </c>
      <c r="M33" s="8">
        <v>560000</v>
      </c>
      <c r="N33" s="8">
        <v>560000</v>
      </c>
      <c r="O33" t="s">
        <v>473</v>
      </c>
      <c r="P33" s="5">
        <v>229</v>
      </c>
      <c r="Q33" t="s">
        <v>512</v>
      </c>
      <c r="R33" t="s">
        <v>513</v>
      </c>
      <c r="S33" t="s">
        <v>514</v>
      </c>
      <c r="T33" t="s">
        <v>31</v>
      </c>
    </row>
    <row r="34" spans="1:20" x14ac:dyDescent="0.2">
      <c r="A34" t="s">
        <v>466</v>
      </c>
      <c r="B34" t="s">
        <v>467</v>
      </c>
      <c r="C34" t="s">
        <v>456</v>
      </c>
      <c r="D34" s="1" t="s">
        <v>505</v>
      </c>
      <c r="E34" t="s">
        <v>506</v>
      </c>
      <c r="F34" s="5">
        <v>23</v>
      </c>
      <c r="G34" t="s">
        <v>467</v>
      </c>
      <c r="H34" t="s">
        <v>104</v>
      </c>
      <c r="I34" s="5">
        <v>2023</v>
      </c>
      <c r="J34" s="3" t="s">
        <v>26</v>
      </c>
      <c r="K34" s="3">
        <v>51</v>
      </c>
      <c r="L34" s="8">
        <v>0</v>
      </c>
      <c r="M34" s="8">
        <v>560000</v>
      </c>
      <c r="N34" s="8">
        <v>560000</v>
      </c>
      <c r="O34" t="s">
        <v>480</v>
      </c>
      <c r="P34" s="5">
        <v>215</v>
      </c>
      <c r="Q34" t="s">
        <v>480</v>
      </c>
      <c r="R34" t="s">
        <v>507</v>
      </c>
      <c r="S34" t="s">
        <v>462</v>
      </c>
      <c r="T34" t="s">
        <v>31</v>
      </c>
    </row>
    <row r="35" spans="1:20" x14ac:dyDescent="0.2">
      <c r="A35" t="s">
        <v>466</v>
      </c>
      <c r="B35" t="s">
        <v>467</v>
      </c>
      <c r="C35" t="s">
        <v>456</v>
      </c>
      <c r="D35" s="1" t="s">
        <v>500</v>
      </c>
      <c r="E35" t="s">
        <v>501</v>
      </c>
      <c r="F35" s="5">
        <v>23</v>
      </c>
      <c r="G35" t="s">
        <v>467</v>
      </c>
      <c r="H35" t="s">
        <v>104</v>
      </c>
      <c r="I35" s="5">
        <v>2024</v>
      </c>
      <c r="J35" s="3" t="s">
        <v>26</v>
      </c>
      <c r="K35" s="3">
        <v>56</v>
      </c>
      <c r="L35" s="8">
        <v>0</v>
      </c>
      <c r="M35" s="8">
        <v>560000</v>
      </c>
      <c r="N35" s="8">
        <v>560000</v>
      </c>
      <c r="O35" t="s">
        <v>502</v>
      </c>
      <c r="P35" s="5">
        <v>205</v>
      </c>
      <c r="Q35" t="s">
        <v>503</v>
      </c>
      <c r="R35" t="s">
        <v>504</v>
      </c>
      <c r="S35" t="s">
        <v>462</v>
      </c>
      <c r="T35" t="s">
        <v>31</v>
      </c>
    </row>
    <row r="36" spans="1:20" x14ac:dyDescent="0.2">
      <c r="A36" s="43" t="s">
        <v>495</v>
      </c>
      <c r="B36" s="43" t="s">
        <v>496</v>
      </c>
      <c r="C36" s="43" t="s">
        <v>456</v>
      </c>
      <c r="D36" s="49" t="s">
        <v>497</v>
      </c>
      <c r="E36" s="43" t="s">
        <v>464</v>
      </c>
      <c r="F36" s="44">
        <v>20</v>
      </c>
      <c r="G36" s="43" t="s">
        <v>178</v>
      </c>
      <c r="H36" s="43" t="s">
        <v>104</v>
      </c>
      <c r="I36" s="44">
        <v>2022</v>
      </c>
      <c r="J36" s="49" t="s">
        <v>26</v>
      </c>
      <c r="K36" s="50">
        <v>57</v>
      </c>
      <c r="L36" s="45">
        <v>0</v>
      </c>
      <c r="M36" s="45">
        <v>2737645</v>
      </c>
      <c r="N36" s="45">
        <f>Table4[[#This Row],[Actual Money]]-Table4[[#This Row],[Projected Money]]</f>
        <v>2737645</v>
      </c>
      <c r="O36" s="43" t="s">
        <v>480</v>
      </c>
      <c r="P36" s="44">
        <v>200</v>
      </c>
      <c r="Q36" s="43" t="s">
        <v>498</v>
      </c>
      <c r="R36" s="43" t="s">
        <v>499</v>
      </c>
      <c r="S36" s="43" t="s">
        <v>482</v>
      </c>
      <c r="T36" s="43" t="s">
        <v>31</v>
      </c>
    </row>
    <row r="37" spans="1:20" x14ac:dyDescent="0.2">
      <c r="A37" s="43" t="s">
        <v>489</v>
      </c>
      <c r="B37" s="43" t="s">
        <v>490</v>
      </c>
      <c r="C37" s="43" t="s">
        <v>456</v>
      </c>
      <c r="D37" s="49" t="s">
        <v>491</v>
      </c>
      <c r="E37" s="43" t="s">
        <v>267</v>
      </c>
      <c r="F37" s="44">
        <v>24</v>
      </c>
      <c r="G37" s="43" t="s">
        <v>492</v>
      </c>
      <c r="H37" s="43" t="s">
        <v>104</v>
      </c>
      <c r="I37" s="44">
        <v>2020</v>
      </c>
      <c r="J37" s="44" t="s">
        <v>26</v>
      </c>
      <c r="K37" s="50">
        <v>60</v>
      </c>
      <c r="L37" s="45">
        <v>0</v>
      </c>
      <c r="M37" s="45">
        <v>1398310</v>
      </c>
      <c r="N37" s="45">
        <f>Table4[[#This Row],[Actual Money]]-Table4[[#This Row],[Projected Money]]</f>
        <v>1398310</v>
      </c>
      <c r="O37" s="43" t="s">
        <v>473</v>
      </c>
      <c r="P37" s="44">
        <v>205</v>
      </c>
      <c r="Q37" s="43" t="s">
        <v>473</v>
      </c>
      <c r="R37" s="43" t="s">
        <v>493</v>
      </c>
      <c r="S37" s="43" t="s">
        <v>494</v>
      </c>
      <c r="T37" s="43" t="s">
        <v>31</v>
      </c>
    </row>
    <row r="38" spans="1:20" x14ac:dyDescent="0.2">
      <c r="A38" t="s">
        <v>483</v>
      </c>
      <c r="B38" t="s">
        <v>484</v>
      </c>
      <c r="C38" t="s">
        <v>456</v>
      </c>
      <c r="D38" s="1" t="s">
        <v>205</v>
      </c>
      <c r="E38" t="s">
        <v>204</v>
      </c>
      <c r="F38" t="s">
        <v>204</v>
      </c>
      <c r="G38" t="s">
        <v>204</v>
      </c>
      <c r="H38" t="s">
        <v>204</v>
      </c>
      <c r="I38" t="s">
        <v>204</v>
      </c>
      <c r="J38" t="s">
        <v>204</v>
      </c>
      <c r="K38" t="s">
        <v>204</v>
      </c>
      <c r="L38" s="8"/>
      <c r="M38" s="8"/>
      <c r="N38" s="8"/>
    </row>
    <row r="39" spans="1:20" x14ac:dyDescent="0.2">
      <c r="A39" t="s">
        <v>485</v>
      </c>
      <c r="B39" t="s">
        <v>486</v>
      </c>
      <c r="C39" t="s">
        <v>456</v>
      </c>
      <c r="D39" t="s">
        <v>204</v>
      </c>
      <c r="E39" t="s">
        <v>204</v>
      </c>
      <c r="F39" t="s">
        <v>204</v>
      </c>
      <c r="G39" t="s">
        <v>204</v>
      </c>
      <c r="H39" t="s">
        <v>204</v>
      </c>
      <c r="I39" t="s">
        <v>204</v>
      </c>
      <c r="J39" t="s">
        <v>204</v>
      </c>
      <c r="K39" t="s">
        <v>204</v>
      </c>
      <c r="L39" s="8"/>
      <c r="M39" s="8"/>
      <c r="N39" s="8"/>
    </row>
    <row r="40" spans="1:20" x14ac:dyDescent="0.2">
      <c r="A40" t="s">
        <v>487</v>
      </c>
      <c r="B40" t="s">
        <v>488</v>
      </c>
      <c r="C40" t="s">
        <v>456</v>
      </c>
      <c r="D40" s="1" t="s">
        <v>204</v>
      </c>
      <c r="E40" t="s">
        <v>204</v>
      </c>
      <c r="F40" t="s">
        <v>204</v>
      </c>
      <c r="G40" t="s">
        <v>204</v>
      </c>
      <c r="H40" t="s">
        <v>204</v>
      </c>
      <c r="I40" t="s">
        <v>204</v>
      </c>
      <c r="J40" s="3" t="s">
        <v>204</v>
      </c>
      <c r="K40" t="s">
        <v>204</v>
      </c>
      <c r="L40" s="8"/>
      <c r="M40" s="8"/>
      <c r="N40" s="8"/>
    </row>
    <row r="41" spans="1:20" x14ac:dyDescent="0.2">
      <c r="A41" t="s">
        <v>454</v>
      </c>
      <c r="B41" t="s">
        <v>455</v>
      </c>
      <c r="C41" t="s">
        <v>456</v>
      </c>
      <c r="D41" s="1" t="s">
        <v>457</v>
      </c>
      <c r="E41" t="s">
        <v>107</v>
      </c>
      <c r="G41" t="s">
        <v>458</v>
      </c>
      <c r="H41" t="s">
        <v>104</v>
      </c>
      <c r="I41" s="5">
        <v>2023</v>
      </c>
      <c r="J41" s="5">
        <v>57</v>
      </c>
      <c r="K41" t="s">
        <v>26</v>
      </c>
      <c r="L41" s="8">
        <v>560000</v>
      </c>
      <c r="M41" s="8">
        <v>0</v>
      </c>
      <c r="N41" s="8">
        <v>-560000</v>
      </c>
      <c r="O41" t="s">
        <v>459</v>
      </c>
      <c r="P41" s="16">
        <v>205</v>
      </c>
      <c r="Q41" t="s">
        <v>460</v>
      </c>
      <c r="R41" t="s">
        <v>461</v>
      </c>
      <c r="S41" t="s">
        <v>462</v>
      </c>
      <c r="T41" t="s">
        <v>31</v>
      </c>
    </row>
    <row r="42" spans="1:20" x14ac:dyDescent="0.2">
      <c r="A42" t="s">
        <v>466</v>
      </c>
      <c r="B42" t="s">
        <v>467</v>
      </c>
      <c r="C42" t="s">
        <v>456</v>
      </c>
      <c r="D42" s="1" t="s">
        <v>468</v>
      </c>
      <c r="E42" t="s">
        <v>464</v>
      </c>
      <c r="G42" t="s">
        <v>467</v>
      </c>
      <c r="H42" t="s">
        <v>104</v>
      </c>
      <c r="I42" s="5">
        <v>2020</v>
      </c>
      <c r="J42" s="3">
        <v>39</v>
      </c>
      <c r="K42" s="3" t="s">
        <v>26</v>
      </c>
      <c r="L42" s="8">
        <v>560000</v>
      </c>
      <c r="M42" s="8">
        <v>0</v>
      </c>
      <c r="N42" s="8">
        <v>-560000</v>
      </c>
      <c r="O42" t="s">
        <v>459</v>
      </c>
      <c r="P42" s="5">
        <v>185</v>
      </c>
      <c r="Q42" t="s">
        <v>469</v>
      </c>
      <c r="R42" t="s">
        <v>470</v>
      </c>
      <c r="S42" t="s">
        <v>471</v>
      </c>
      <c r="T42" t="s">
        <v>31</v>
      </c>
    </row>
    <row r="43" spans="1:20" x14ac:dyDescent="0.2">
      <c r="A43" t="s">
        <v>466</v>
      </c>
      <c r="B43" t="s">
        <v>467</v>
      </c>
      <c r="C43" t="s">
        <v>456</v>
      </c>
      <c r="D43" s="1" t="s">
        <v>472</v>
      </c>
      <c r="E43" t="s">
        <v>39</v>
      </c>
      <c r="G43" t="s">
        <v>467</v>
      </c>
      <c r="H43" t="s">
        <v>104</v>
      </c>
      <c r="I43" s="5">
        <v>2021</v>
      </c>
      <c r="J43" s="3">
        <v>47</v>
      </c>
      <c r="K43" s="3" t="s">
        <v>26</v>
      </c>
      <c r="L43" s="8">
        <v>560000</v>
      </c>
      <c r="M43" s="8">
        <v>0</v>
      </c>
      <c r="N43" s="8">
        <v>-560000</v>
      </c>
      <c r="O43" t="s">
        <v>473</v>
      </c>
      <c r="P43" s="5">
        <v>195</v>
      </c>
      <c r="Q43" t="s">
        <v>474</v>
      </c>
      <c r="R43" t="s">
        <v>475</v>
      </c>
      <c r="S43" t="s">
        <v>462</v>
      </c>
      <c r="T43" t="s">
        <v>31</v>
      </c>
    </row>
    <row r="44" spans="1:20" x14ac:dyDescent="0.2">
      <c r="A44" t="s">
        <v>476</v>
      </c>
      <c r="B44" t="s">
        <v>477</v>
      </c>
      <c r="C44" t="s">
        <v>456</v>
      </c>
      <c r="D44" s="1" t="s">
        <v>478</v>
      </c>
      <c r="E44" t="s">
        <v>464</v>
      </c>
      <c r="G44" t="s">
        <v>479</v>
      </c>
      <c r="H44" t="s">
        <v>104</v>
      </c>
      <c r="I44" s="5">
        <v>2023</v>
      </c>
      <c r="J44" s="3">
        <v>37</v>
      </c>
      <c r="K44" s="3" t="s">
        <v>26</v>
      </c>
      <c r="L44" s="8">
        <v>560000</v>
      </c>
      <c r="M44" s="8">
        <v>0</v>
      </c>
      <c r="N44" s="8">
        <v>-560000</v>
      </c>
      <c r="O44" t="s">
        <v>480</v>
      </c>
      <c r="P44" s="5">
        <v>215</v>
      </c>
      <c r="Q44" t="s">
        <v>481</v>
      </c>
      <c r="R44" t="s">
        <v>435</v>
      </c>
      <c r="S44" t="s">
        <v>482</v>
      </c>
      <c r="T44" t="s">
        <v>31</v>
      </c>
    </row>
    <row r="45" spans="1:20" x14ac:dyDescent="0.2">
      <c r="A45" t="s">
        <v>631</v>
      </c>
      <c r="B45" t="s">
        <v>632</v>
      </c>
      <c r="C45" t="s">
        <v>456</v>
      </c>
      <c r="D45" s="1" t="s">
        <v>204</v>
      </c>
      <c r="E45" t="s">
        <v>204</v>
      </c>
      <c r="F45" t="s">
        <v>204</v>
      </c>
      <c r="G45" t="s">
        <v>204</v>
      </c>
      <c r="H45" t="s">
        <v>204</v>
      </c>
      <c r="I45" t="s">
        <v>204</v>
      </c>
      <c r="J45" t="s">
        <v>204</v>
      </c>
      <c r="L45" s="8"/>
      <c r="M45" s="8"/>
      <c r="N45" s="8"/>
    </row>
    <row r="46" spans="1:20" x14ac:dyDescent="0.2">
      <c r="L46" s="8"/>
      <c r="M46" s="8"/>
      <c r="N46" s="8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A5A4-8FBE-D045-95DC-EBE9EFEEE2D8}">
  <dimension ref="A1:T36"/>
  <sheetViews>
    <sheetView workbookViewId="0">
      <selection activeCell="A8" sqref="A8"/>
    </sheetView>
  </sheetViews>
  <sheetFormatPr baseColWidth="10" defaultColWidth="11" defaultRowHeight="16" x14ac:dyDescent="0.2"/>
  <cols>
    <col min="1" max="1" width="16.33203125" customWidth="1"/>
    <col min="2" max="2" width="20.33203125" customWidth="1"/>
    <col min="3" max="3" width="25.5" customWidth="1"/>
    <col min="4" max="4" width="19.6640625" customWidth="1"/>
    <col min="6" max="6" width="7.5" customWidth="1"/>
    <col min="8" max="8" width="18.6640625" customWidth="1"/>
    <col min="10" max="10" width="15.5" customWidth="1"/>
    <col min="11" max="11" width="12.83203125" customWidth="1"/>
    <col min="12" max="12" width="18.5" customWidth="1"/>
    <col min="13" max="13" width="15.83203125" customWidth="1"/>
    <col min="14" max="14" width="18.6640625" customWidth="1"/>
    <col min="16" max="16" width="11" style="5"/>
    <col min="17" max="17" width="11.6640625" customWidth="1"/>
    <col min="18" max="18" width="15.6640625" customWidth="1"/>
    <col min="19" max="20" width="15.1640625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">
      <c r="A2" t="s">
        <v>633</v>
      </c>
      <c r="B2" t="s">
        <v>634</v>
      </c>
      <c r="C2" t="s">
        <v>135</v>
      </c>
      <c r="D2" t="s">
        <v>635</v>
      </c>
      <c r="E2" t="s">
        <v>39</v>
      </c>
      <c r="F2" s="5">
        <v>23</v>
      </c>
      <c r="G2" t="s">
        <v>634</v>
      </c>
      <c r="H2" t="s">
        <v>135</v>
      </c>
      <c r="I2" s="3">
        <v>2025</v>
      </c>
      <c r="J2" s="3">
        <v>27</v>
      </c>
      <c r="K2" s="1" t="s">
        <v>26</v>
      </c>
      <c r="L2" s="8">
        <v>14384200</v>
      </c>
      <c r="M2" s="8">
        <v>0</v>
      </c>
      <c r="N2" s="8">
        <f>M2-L2</f>
        <v>-14384200</v>
      </c>
      <c r="O2" t="s">
        <v>49</v>
      </c>
      <c r="P2" s="5">
        <v>220</v>
      </c>
      <c r="Q2" t="s">
        <v>59</v>
      </c>
      <c r="R2" t="s">
        <v>636</v>
      </c>
      <c r="S2" t="s">
        <v>637</v>
      </c>
      <c r="T2" t="s">
        <v>31</v>
      </c>
    </row>
    <row r="3" spans="1:20" x14ac:dyDescent="0.2">
      <c r="A3" t="s">
        <v>638</v>
      </c>
      <c r="B3" t="s">
        <v>639</v>
      </c>
      <c r="C3" t="s">
        <v>135</v>
      </c>
      <c r="D3" s="1" t="s">
        <v>640</v>
      </c>
      <c r="E3" t="s">
        <v>464</v>
      </c>
      <c r="F3" s="5">
        <v>20</v>
      </c>
      <c r="G3" t="s">
        <v>639</v>
      </c>
      <c r="H3" t="s">
        <v>135</v>
      </c>
      <c r="I3" s="3">
        <v>2022</v>
      </c>
      <c r="J3" s="3">
        <v>45</v>
      </c>
      <c r="K3" s="3" t="s">
        <v>26</v>
      </c>
      <c r="L3" s="8">
        <v>560000</v>
      </c>
      <c r="M3" s="8">
        <v>0</v>
      </c>
      <c r="N3" s="8">
        <v>-560000</v>
      </c>
      <c r="O3" t="s">
        <v>543</v>
      </c>
      <c r="P3" s="5">
        <v>235</v>
      </c>
      <c r="Q3" t="s">
        <v>641</v>
      </c>
      <c r="R3" t="s">
        <v>340</v>
      </c>
      <c r="S3" t="s">
        <v>642</v>
      </c>
      <c r="T3" t="s">
        <v>31</v>
      </c>
    </row>
    <row r="4" spans="1:20" x14ac:dyDescent="0.2">
      <c r="A4" t="s">
        <v>643</v>
      </c>
      <c r="B4" t="s">
        <v>644</v>
      </c>
      <c r="C4" t="s">
        <v>135</v>
      </c>
      <c r="D4" s="1" t="s">
        <v>645</v>
      </c>
      <c r="E4" t="s">
        <v>107</v>
      </c>
      <c r="F4" s="5">
        <v>21</v>
      </c>
      <c r="G4" t="s">
        <v>644</v>
      </c>
      <c r="H4" t="s">
        <v>135</v>
      </c>
      <c r="I4" s="3">
        <v>2024</v>
      </c>
      <c r="J4" s="3">
        <v>53</v>
      </c>
      <c r="K4" s="3" t="s">
        <v>26</v>
      </c>
      <c r="L4" s="8">
        <v>560000</v>
      </c>
      <c r="M4" s="8">
        <v>0</v>
      </c>
      <c r="N4" s="8">
        <v>-560000</v>
      </c>
      <c r="O4" t="s">
        <v>586</v>
      </c>
      <c r="P4" s="5">
        <v>185</v>
      </c>
      <c r="Q4" t="s">
        <v>646</v>
      </c>
      <c r="R4" t="s">
        <v>647</v>
      </c>
      <c r="S4" t="s">
        <v>648</v>
      </c>
      <c r="T4" t="s">
        <v>31</v>
      </c>
    </row>
    <row r="5" spans="1:20" x14ac:dyDescent="0.2">
      <c r="A5" t="s">
        <v>649</v>
      </c>
      <c r="B5" t="s">
        <v>650</v>
      </c>
      <c r="C5" t="s">
        <v>135</v>
      </c>
      <c r="D5" s="1" t="s">
        <v>651</v>
      </c>
      <c r="E5" t="s">
        <v>39</v>
      </c>
      <c r="F5" s="5">
        <v>21</v>
      </c>
      <c r="G5" t="s">
        <v>652</v>
      </c>
      <c r="H5" t="s">
        <v>135</v>
      </c>
      <c r="I5" s="3">
        <v>2020</v>
      </c>
      <c r="J5" s="3">
        <v>43</v>
      </c>
      <c r="K5" s="1" t="s">
        <v>26</v>
      </c>
      <c r="L5" s="8">
        <v>560000</v>
      </c>
      <c r="M5" s="8">
        <v>0</v>
      </c>
      <c r="N5" s="8">
        <v>-560000</v>
      </c>
      <c r="O5" t="s">
        <v>502</v>
      </c>
      <c r="P5" s="5">
        <v>205</v>
      </c>
      <c r="R5" t="s">
        <v>653</v>
      </c>
      <c r="S5" t="s">
        <v>654</v>
      </c>
      <c r="T5" t="s">
        <v>31</v>
      </c>
    </row>
    <row r="6" spans="1:20" x14ac:dyDescent="0.2">
      <c r="A6" t="s">
        <v>655</v>
      </c>
      <c r="B6" t="s">
        <v>656</v>
      </c>
      <c r="C6" t="s">
        <v>135</v>
      </c>
      <c r="D6" s="1" t="s">
        <v>205</v>
      </c>
      <c r="E6" t="s">
        <v>204</v>
      </c>
      <c r="F6" t="s">
        <v>204</v>
      </c>
      <c r="G6" t="s">
        <v>204</v>
      </c>
      <c r="H6" t="s">
        <v>204</v>
      </c>
      <c r="I6" t="s">
        <v>204</v>
      </c>
      <c r="J6" s="3" t="s">
        <v>204</v>
      </c>
      <c r="K6" t="s">
        <v>204</v>
      </c>
    </row>
    <row r="7" spans="1:20" x14ac:dyDescent="0.2">
      <c r="A7" t="s">
        <v>657</v>
      </c>
      <c r="B7" t="s">
        <v>658</v>
      </c>
      <c r="C7" t="s">
        <v>135</v>
      </c>
      <c r="D7" s="1" t="s">
        <v>205</v>
      </c>
      <c r="E7" t="s">
        <v>204</v>
      </c>
      <c r="F7" t="s">
        <v>204</v>
      </c>
      <c r="G7" t="s">
        <v>204</v>
      </c>
      <c r="H7" t="s">
        <v>204</v>
      </c>
      <c r="I7" t="s">
        <v>204</v>
      </c>
      <c r="J7" s="3" t="s">
        <v>204</v>
      </c>
      <c r="K7" t="s">
        <v>204</v>
      </c>
    </row>
    <row r="8" spans="1:20" x14ac:dyDescent="0.2">
      <c r="A8" t="s">
        <v>659</v>
      </c>
      <c r="B8" t="s">
        <v>660</v>
      </c>
      <c r="C8" t="s">
        <v>135</v>
      </c>
      <c r="D8" s="1" t="s">
        <v>205</v>
      </c>
      <c r="E8" t="s">
        <v>204</v>
      </c>
      <c r="F8" t="s">
        <v>204</v>
      </c>
      <c r="G8" t="s">
        <v>204</v>
      </c>
      <c r="H8" t="s">
        <v>204</v>
      </c>
      <c r="I8" t="s">
        <v>204</v>
      </c>
      <c r="J8" t="s">
        <v>204</v>
      </c>
      <c r="K8" t="s">
        <v>204</v>
      </c>
    </row>
    <row r="9" spans="1:20" x14ac:dyDescent="0.2">
      <c r="A9" t="s">
        <v>638</v>
      </c>
      <c r="B9" t="s">
        <v>639</v>
      </c>
      <c r="C9" t="s">
        <v>135</v>
      </c>
      <c r="D9" s="1" t="s">
        <v>661</v>
      </c>
      <c r="E9" t="s">
        <v>39</v>
      </c>
      <c r="F9" s="5">
        <v>22</v>
      </c>
      <c r="G9" t="s">
        <v>82</v>
      </c>
      <c r="H9" t="s">
        <v>22</v>
      </c>
      <c r="I9" s="3">
        <v>2021</v>
      </c>
      <c r="J9" s="3" t="s">
        <v>26</v>
      </c>
      <c r="K9" s="3">
        <v>58</v>
      </c>
      <c r="L9" s="8">
        <v>0</v>
      </c>
      <c r="M9" s="8">
        <v>560000</v>
      </c>
      <c r="N9" s="8">
        <v>560000</v>
      </c>
      <c r="O9" t="s">
        <v>28</v>
      </c>
      <c r="P9" s="5">
        <v>245</v>
      </c>
      <c r="Q9" t="s">
        <v>41</v>
      </c>
      <c r="R9" t="s">
        <v>306</v>
      </c>
      <c r="S9" t="s">
        <v>662</v>
      </c>
      <c r="T9" t="s">
        <v>31</v>
      </c>
    </row>
    <row r="10" spans="1:20" x14ac:dyDescent="0.2">
      <c r="A10" t="s">
        <v>633</v>
      </c>
      <c r="B10" t="s">
        <v>634</v>
      </c>
      <c r="C10" t="s">
        <v>135</v>
      </c>
      <c r="D10" t="s">
        <v>663</v>
      </c>
      <c r="E10" t="s">
        <v>39</v>
      </c>
      <c r="F10" s="5">
        <v>23</v>
      </c>
      <c r="G10" t="s">
        <v>634</v>
      </c>
      <c r="H10" t="s">
        <v>135</v>
      </c>
      <c r="I10" s="3">
        <v>2024</v>
      </c>
      <c r="J10" s="3" t="s">
        <v>26</v>
      </c>
      <c r="K10" s="3">
        <v>53</v>
      </c>
      <c r="L10" s="8">
        <v>0</v>
      </c>
      <c r="M10" s="8">
        <v>560000</v>
      </c>
      <c r="N10" s="8">
        <v>560000</v>
      </c>
      <c r="O10" t="s">
        <v>45</v>
      </c>
      <c r="P10" s="5">
        <v>202</v>
      </c>
      <c r="Q10" t="s">
        <v>63</v>
      </c>
      <c r="R10" t="s">
        <v>340</v>
      </c>
      <c r="S10" t="s">
        <v>151</v>
      </c>
      <c r="T10" t="s">
        <v>31</v>
      </c>
    </row>
    <row r="11" spans="1:20" s="43" customFormat="1" x14ac:dyDescent="0.2">
      <c r="A11" s="43" t="s">
        <v>633</v>
      </c>
      <c r="B11" s="43" t="s">
        <v>634</v>
      </c>
      <c r="C11" s="43" t="s">
        <v>135</v>
      </c>
      <c r="D11" s="43" t="s">
        <v>664</v>
      </c>
      <c r="E11" s="43" t="s">
        <v>39</v>
      </c>
      <c r="F11" s="44">
        <v>23</v>
      </c>
      <c r="G11" s="43" t="s">
        <v>634</v>
      </c>
      <c r="H11" s="43" t="s">
        <v>135</v>
      </c>
      <c r="I11" s="50">
        <v>2022</v>
      </c>
      <c r="J11" s="49" t="s">
        <v>26</v>
      </c>
      <c r="K11" s="50">
        <v>51</v>
      </c>
      <c r="L11" s="45">
        <v>0</v>
      </c>
      <c r="M11" s="45">
        <v>1017781</v>
      </c>
      <c r="N11" s="45">
        <f>Table5[[#This Row],[Actual Money]]-Table5[[#This Row],[Projected Money]]</f>
        <v>1017781</v>
      </c>
      <c r="O11" s="43" t="s">
        <v>63</v>
      </c>
      <c r="P11" s="44">
        <v>216</v>
      </c>
      <c r="Q11" s="43" t="s">
        <v>27</v>
      </c>
      <c r="R11" s="43" t="s">
        <v>665</v>
      </c>
      <c r="S11" s="43" t="s">
        <v>666</v>
      </c>
      <c r="T11" s="43" t="s">
        <v>31</v>
      </c>
    </row>
    <row r="12" spans="1:20" x14ac:dyDescent="0.2">
      <c r="A12" t="s">
        <v>667</v>
      </c>
      <c r="B12" t="s">
        <v>668</v>
      </c>
      <c r="C12" t="s">
        <v>135</v>
      </c>
      <c r="D12" t="s">
        <v>669</v>
      </c>
      <c r="E12" t="s">
        <v>39</v>
      </c>
      <c r="F12" s="5">
        <v>22</v>
      </c>
      <c r="G12" t="s">
        <v>670</v>
      </c>
      <c r="H12" t="s">
        <v>135</v>
      </c>
      <c r="I12" s="3">
        <v>2021</v>
      </c>
      <c r="J12" s="3" t="s">
        <v>26</v>
      </c>
      <c r="K12" s="3">
        <v>51</v>
      </c>
      <c r="L12" s="8">
        <v>0</v>
      </c>
      <c r="M12" s="8">
        <v>560000</v>
      </c>
      <c r="N12" s="8">
        <f>Table5[[#This Row],[Actual Money]]-Table5[[#This Row],[Projected Money]]</f>
        <v>560000</v>
      </c>
      <c r="O12" t="s">
        <v>28</v>
      </c>
      <c r="P12" s="5">
        <v>240</v>
      </c>
      <c r="Q12" t="s">
        <v>141</v>
      </c>
      <c r="R12" t="s">
        <v>113</v>
      </c>
      <c r="S12" t="s">
        <v>113</v>
      </c>
      <c r="T12" t="s">
        <v>31</v>
      </c>
    </row>
    <row r="13" spans="1:20" x14ac:dyDescent="0.2">
      <c r="A13" t="s">
        <v>633</v>
      </c>
      <c r="B13" t="s">
        <v>634</v>
      </c>
      <c r="C13" t="s">
        <v>135</v>
      </c>
      <c r="D13" t="s">
        <v>671</v>
      </c>
      <c r="E13" t="s">
        <v>39</v>
      </c>
      <c r="F13" s="5">
        <v>22</v>
      </c>
      <c r="G13" t="s">
        <v>634</v>
      </c>
      <c r="H13" t="s">
        <v>135</v>
      </c>
      <c r="I13" s="3">
        <v>2024</v>
      </c>
      <c r="J13" s="3" t="s">
        <v>26</v>
      </c>
      <c r="K13" s="3">
        <v>49</v>
      </c>
      <c r="L13" s="8">
        <v>0</v>
      </c>
      <c r="M13" s="8">
        <v>560000</v>
      </c>
      <c r="N13" s="8">
        <f>Table5[[#This Row],[Actual Money]]-Table5[[#This Row],[Projected Money]]</f>
        <v>560000</v>
      </c>
      <c r="O13" t="s">
        <v>45</v>
      </c>
      <c r="P13" s="5">
        <v>192</v>
      </c>
      <c r="Q13" t="s">
        <v>49</v>
      </c>
      <c r="R13" t="s">
        <v>672</v>
      </c>
      <c r="S13" t="s">
        <v>82</v>
      </c>
      <c r="T13" t="s">
        <v>31</v>
      </c>
    </row>
    <row r="14" spans="1:20" x14ac:dyDescent="0.2">
      <c r="A14" t="s">
        <v>643</v>
      </c>
      <c r="B14" t="s">
        <v>644</v>
      </c>
      <c r="C14" t="s">
        <v>135</v>
      </c>
      <c r="D14" s="1" t="s">
        <v>673</v>
      </c>
      <c r="E14" t="s">
        <v>216</v>
      </c>
      <c r="F14" s="5">
        <v>22</v>
      </c>
      <c r="G14" t="s">
        <v>644</v>
      </c>
      <c r="H14" t="s">
        <v>135</v>
      </c>
      <c r="I14" s="3">
        <v>2021</v>
      </c>
      <c r="J14" s="3">
        <v>57</v>
      </c>
      <c r="K14" s="3">
        <v>49</v>
      </c>
      <c r="L14" s="8">
        <v>560000</v>
      </c>
      <c r="M14" s="8">
        <v>0</v>
      </c>
      <c r="N14" s="8">
        <f>Table5[[#This Row],[Actual Money]]-Table5[[#This Row],[Projected Money]]</f>
        <v>-560000</v>
      </c>
      <c r="O14" t="s">
        <v>459</v>
      </c>
      <c r="P14" s="5">
        <v>180</v>
      </c>
      <c r="Q14" t="s">
        <v>674</v>
      </c>
      <c r="R14" t="s">
        <v>675</v>
      </c>
      <c r="S14" t="s">
        <v>654</v>
      </c>
      <c r="T14" t="s">
        <v>31</v>
      </c>
    </row>
    <row r="15" spans="1:20" s="43" customFormat="1" x14ac:dyDescent="0.2">
      <c r="A15" s="43" t="s">
        <v>638</v>
      </c>
      <c r="B15" s="43" t="s">
        <v>639</v>
      </c>
      <c r="C15" s="43" t="s">
        <v>135</v>
      </c>
      <c r="D15" s="49" t="s">
        <v>676</v>
      </c>
      <c r="E15" s="43" t="s">
        <v>24</v>
      </c>
      <c r="F15" s="44">
        <v>19</v>
      </c>
      <c r="G15" s="43" t="s">
        <v>82</v>
      </c>
      <c r="H15" s="43" t="s">
        <v>22</v>
      </c>
      <c r="I15" s="50">
        <v>2021</v>
      </c>
      <c r="J15" s="50">
        <v>16</v>
      </c>
      <c r="K15" s="50">
        <v>43</v>
      </c>
      <c r="L15" s="45">
        <v>15550974</v>
      </c>
      <c r="M15" s="45">
        <v>2488776</v>
      </c>
      <c r="N15" s="45">
        <f>Table5[[#This Row],[Actual Money]]-Table5[[#This Row],[Projected Money]]</f>
        <v>-13062198</v>
      </c>
      <c r="O15" s="43" t="s">
        <v>27</v>
      </c>
      <c r="P15" s="44">
        <v>205</v>
      </c>
      <c r="Q15" s="43" t="s">
        <v>450</v>
      </c>
      <c r="R15" s="43" t="s">
        <v>222</v>
      </c>
      <c r="S15" s="43" t="s">
        <v>82</v>
      </c>
      <c r="T15" s="43" t="s">
        <v>31</v>
      </c>
    </row>
    <row r="16" spans="1:20" x14ac:dyDescent="0.2">
      <c r="A16" t="s">
        <v>677</v>
      </c>
      <c r="B16" t="s">
        <v>678</v>
      </c>
      <c r="C16" t="s">
        <v>135</v>
      </c>
      <c r="D16" s="1" t="s">
        <v>679</v>
      </c>
      <c r="E16" t="s">
        <v>107</v>
      </c>
      <c r="F16" s="5">
        <v>21</v>
      </c>
      <c r="G16" t="s">
        <v>236</v>
      </c>
      <c r="H16" t="s">
        <v>680</v>
      </c>
      <c r="I16" s="3">
        <v>2022</v>
      </c>
      <c r="J16" s="3" t="s">
        <v>26</v>
      </c>
      <c r="K16" s="3">
        <v>41</v>
      </c>
      <c r="L16" s="8">
        <v>0</v>
      </c>
      <c r="M16" s="8">
        <v>560000</v>
      </c>
      <c r="N16" s="8">
        <f>Table5[[#This Row],[Actual Money]]-Table5[[#This Row],[Projected Money]]</f>
        <v>560000</v>
      </c>
      <c r="O16" t="s">
        <v>543</v>
      </c>
      <c r="P16" s="5">
        <v>240</v>
      </c>
      <c r="Q16" t="s">
        <v>681</v>
      </c>
      <c r="R16" t="s">
        <v>682</v>
      </c>
      <c r="S16" t="s">
        <v>683</v>
      </c>
      <c r="T16" t="s">
        <v>31</v>
      </c>
    </row>
    <row r="17" spans="1:20" s="43" customFormat="1" x14ac:dyDescent="0.2">
      <c r="A17" s="43" t="s">
        <v>638</v>
      </c>
      <c r="B17" s="43" t="s">
        <v>639</v>
      </c>
      <c r="C17" s="43" t="s">
        <v>135</v>
      </c>
      <c r="D17" s="49" t="s">
        <v>684</v>
      </c>
      <c r="E17" s="43" t="s">
        <v>107</v>
      </c>
      <c r="F17" s="44">
        <v>21</v>
      </c>
      <c r="G17" s="43" t="s">
        <v>639</v>
      </c>
      <c r="H17" s="43" t="s">
        <v>135</v>
      </c>
      <c r="I17" s="50">
        <v>2024</v>
      </c>
      <c r="J17" s="50" t="s">
        <v>26</v>
      </c>
      <c r="K17" s="50">
        <v>40</v>
      </c>
      <c r="L17" s="45">
        <v>0</v>
      </c>
      <c r="M17" s="45">
        <v>5408801</v>
      </c>
      <c r="N17" s="45">
        <f>Table5[[#This Row],[Actual Money]]-Table5[[#This Row],[Projected Money]]</f>
        <v>5408801</v>
      </c>
      <c r="O17" s="43" t="s">
        <v>503</v>
      </c>
      <c r="P17" s="44">
        <v>205</v>
      </c>
      <c r="Q17" s="43" t="s">
        <v>481</v>
      </c>
      <c r="R17" s="43" t="s">
        <v>685</v>
      </c>
      <c r="S17" s="43" t="s">
        <v>580</v>
      </c>
      <c r="T17" s="43" t="s">
        <v>31</v>
      </c>
    </row>
    <row r="18" spans="1:20" s="43" customFormat="1" x14ac:dyDescent="0.2">
      <c r="A18" s="43" t="s">
        <v>649</v>
      </c>
      <c r="B18" s="43" t="s">
        <v>650</v>
      </c>
      <c r="C18" s="43" t="s">
        <v>135</v>
      </c>
      <c r="D18" s="49" t="s">
        <v>686</v>
      </c>
      <c r="E18" s="43" t="s">
        <v>39</v>
      </c>
      <c r="F18" s="44">
        <v>23</v>
      </c>
      <c r="G18" s="43" t="s">
        <v>650</v>
      </c>
      <c r="H18" s="43" t="s">
        <v>135</v>
      </c>
      <c r="I18" s="50">
        <v>2025</v>
      </c>
      <c r="J18" s="50" t="s">
        <v>26</v>
      </c>
      <c r="K18" s="50">
        <v>40</v>
      </c>
      <c r="L18" s="45">
        <v>0</v>
      </c>
      <c r="M18" s="45">
        <v>3423787</v>
      </c>
      <c r="N18" s="45">
        <f>Table5[[#This Row],[Actual Money]]-Table5[[#This Row],[Projected Money]]</f>
        <v>3423787</v>
      </c>
      <c r="O18" s="43" t="s">
        <v>687</v>
      </c>
      <c r="P18" s="44">
        <v>215</v>
      </c>
      <c r="Q18" s="43" t="s">
        <v>688</v>
      </c>
      <c r="R18" s="43" t="s">
        <v>689</v>
      </c>
      <c r="S18" s="43" t="s">
        <v>462</v>
      </c>
      <c r="T18" s="43" t="s">
        <v>31</v>
      </c>
    </row>
    <row r="19" spans="1:20" s="43" customFormat="1" x14ac:dyDescent="0.2">
      <c r="A19" s="43" t="s">
        <v>638</v>
      </c>
      <c r="B19" s="43" t="s">
        <v>639</v>
      </c>
      <c r="C19" s="43" t="s">
        <v>135</v>
      </c>
      <c r="D19" s="49" t="s">
        <v>690</v>
      </c>
      <c r="E19" s="43" t="s">
        <v>267</v>
      </c>
      <c r="F19" s="44">
        <v>23</v>
      </c>
      <c r="G19" s="43" t="s">
        <v>639</v>
      </c>
      <c r="H19" s="43" t="s">
        <v>135</v>
      </c>
      <c r="I19" s="50">
        <v>2025</v>
      </c>
      <c r="J19" s="50">
        <v>48</v>
      </c>
      <c r="K19" s="50">
        <v>38</v>
      </c>
      <c r="L19" s="45">
        <v>560000</v>
      </c>
      <c r="M19" s="45">
        <v>2348329</v>
      </c>
      <c r="N19" s="45">
        <f>Table5[[#This Row],[Actual Money]]-Table5[[#This Row],[Projected Money]]</f>
        <v>1788329</v>
      </c>
      <c r="O19" s="43" t="s">
        <v>586</v>
      </c>
      <c r="P19" s="44">
        <v>185</v>
      </c>
      <c r="Q19" s="43" t="s">
        <v>502</v>
      </c>
      <c r="R19" s="43" t="s">
        <v>691</v>
      </c>
      <c r="S19" s="43" t="s">
        <v>692</v>
      </c>
      <c r="T19" s="43" t="s">
        <v>31</v>
      </c>
    </row>
    <row r="20" spans="1:20" s="43" customFormat="1" x14ac:dyDescent="0.2">
      <c r="A20" s="43" t="s">
        <v>633</v>
      </c>
      <c r="B20" s="43" t="s">
        <v>634</v>
      </c>
      <c r="C20" s="43" t="s">
        <v>135</v>
      </c>
      <c r="D20" s="43" t="s">
        <v>693</v>
      </c>
      <c r="E20" s="43" t="s">
        <v>107</v>
      </c>
      <c r="F20" s="44">
        <v>22</v>
      </c>
      <c r="G20" s="43" t="s">
        <v>634</v>
      </c>
      <c r="H20" s="43" t="s">
        <v>135</v>
      </c>
      <c r="I20" s="50">
        <v>2023</v>
      </c>
      <c r="J20" s="50">
        <v>37</v>
      </c>
      <c r="K20" s="50">
        <v>36</v>
      </c>
      <c r="L20" s="45">
        <v>560000</v>
      </c>
      <c r="M20" s="45">
        <v>2065492</v>
      </c>
      <c r="N20" s="45">
        <f>Table5[[#This Row],[Actual Money]]-Table5[[#This Row],[Projected Money]]</f>
        <v>1505492</v>
      </c>
      <c r="O20" s="43" t="s">
        <v>49</v>
      </c>
      <c r="P20" s="44">
        <v>210</v>
      </c>
      <c r="Q20" s="43" t="s">
        <v>40</v>
      </c>
      <c r="R20" s="43" t="s">
        <v>367</v>
      </c>
      <c r="S20" s="43" t="s">
        <v>113</v>
      </c>
      <c r="T20" s="43" t="s">
        <v>31</v>
      </c>
    </row>
    <row r="21" spans="1:20" s="43" customFormat="1" x14ac:dyDescent="0.2">
      <c r="A21" s="43" t="s">
        <v>638</v>
      </c>
      <c r="B21" s="43" t="s">
        <v>639</v>
      </c>
      <c r="C21" s="43" t="s">
        <v>135</v>
      </c>
      <c r="D21" s="49" t="s">
        <v>694</v>
      </c>
      <c r="E21" s="43" t="s">
        <v>107</v>
      </c>
      <c r="F21" s="44">
        <v>22</v>
      </c>
      <c r="G21" s="43" t="s">
        <v>639</v>
      </c>
      <c r="H21" s="43" t="s">
        <v>135</v>
      </c>
      <c r="I21" s="50">
        <v>2024</v>
      </c>
      <c r="J21" s="50" t="s">
        <v>26</v>
      </c>
      <c r="K21" s="50">
        <v>34</v>
      </c>
      <c r="L21" s="45">
        <v>0</v>
      </c>
      <c r="M21" s="45">
        <v>6575687</v>
      </c>
      <c r="N21" s="45">
        <f>Table5[[#This Row],[Actual Money]]-Table5[[#This Row],[Projected Money]]</f>
        <v>6575687</v>
      </c>
      <c r="O21" s="43" t="s">
        <v>525</v>
      </c>
      <c r="P21" s="44">
        <v>182</v>
      </c>
      <c r="Q21" s="43" t="s">
        <v>674</v>
      </c>
      <c r="R21" s="43" t="s">
        <v>695</v>
      </c>
      <c r="S21" s="43" t="s">
        <v>696</v>
      </c>
      <c r="T21" s="43" t="s">
        <v>31</v>
      </c>
    </row>
    <row r="22" spans="1:20" s="43" customFormat="1" x14ac:dyDescent="0.2">
      <c r="A22" s="43" t="s">
        <v>643</v>
      </c>
      <c r="B22" s="43" t="s">
        <v>644</v>
      </c>
      <c r="C22" s="43" t="s">
        <v>135</v>
      </c>
      <c r="D22" s="49" t="s">
        <v>697</v>
      </c>
      <c r="E22" s="43" t="s">
        <v>39</v>
      </c>
      <c r="F22" s="44">
        <v>23</v>
      </c>
      <c r="G22" s="43" t="s">
        <v>644</v>
      </c>
      <c r="H22" s="43" t="s">
        <v>135</v>
      </c>
      <c r="I22" s="50">
        <v>2025</v>
      </c>
      <c r="J22" s="50">
        <v>28</v>
      </c>
      <c r="K22" s="50">
        <v>34</v>
      </c>
      <c r="L22" s="45">
        <v>14298145</v>
      </c>
      <c r="M22" s="45">
        <v>4707364</v>
      </c>
      <c r="N22" s="45">
        <f>Table5[[#This Row],[Actual Money]]-Table5[[#This Row],[Projected Money]]</f>
        <v>-9590781</v>
      </c>
      <c r="O22" s="43" t="s">
        <v>512</v>
      </c>
      <c r="P22" s="44">
        <v>235</v>
      </c>
      <c r="Q22" s="43" t="s">
        <v>698</v>
      </c>
      <c r="R22" s="43" t="s">
        <v>699</v>
      </c>
      <c r="S22" s="43" t="s">
        <v>594</v>
      </c>
      <c r="T22" s="43" t="s">
        <v>31</v>
      </c>
    </row>
    <row r="23" spans="1:20" x14ac:dyDescent="0.2">
      <c r="A23" t="s">
        <v>700</v>
      </c>
      <c r="B23" t="s">
        <v>701</v>
      </c>
      <c r="C23" t="s">
        <v>135</v>
      </c>
      <c r="D23" s="1" t="s">
        <v>702</v>
      </c>
      <c r="E23" t="s">
        <v>464</v>
      </c>
      <c r="F23" s="5">
        <v>20</v>
      </c>
      <c r="G23" t="s">
        <v>662</v>
      </c>
      <c r="H23" t="s">
        <v>680</v>
      </c>
      <c r="I23" s="3">
        <v>2020</v>
      </c>
      <c r="J23" s="1" t="s">
        <v>26</v>
      </c>
      <c r="K23" s="3">
        <v>33</v>
      </c>
      <c r="L23" s="8">
        <v>0</v>
      </c>
      <c r="M23" s="8">
        <v>2416291</v>
      </c>
      <c r="N23" s="8">
        <f>Table5[[#This Row],[Actual Money]]-Table5[[#This Row],[Projected Money]]</f>
        <v>2416291</v>
      </c>
      <c r="O23" t="s">
        <v>569</v>
      </c>
      <c r="P23" s="5">
        <v>240</v>
      </c>
      <c r="Q23" t="s">
        <v>703</v>
      </c>
      <c r="R23" t="s">
        <v>704</v>
      </c>
      <c r="S23" t="s">
        <v>520</v>
      </c>
      <c r="T23" t="s">
        <v>31</v>
      </c>
    </row>
    <row r="24" spans="1:20" x14ac:dyDescent="0.2">
      <c r="A24" t="s">
        <v>643</v>
      </c>
      <c r="B24" t="s">
        <v>644</v>
      </c>
      <c r="C24" t="s">
        <v>135</v>
      </c>
      <c r="D24" s="1" t="s">
        <v>705</v>
      </c>
      <c r="E24" t="s">
        <v>39</v>
      </c>
      <c r="F24" s="5">
        <v>23</v>
      </c>
      <c r="G24" t="s">
        <v>644</v>
      </c>
      <c r="H24" t="s">
        <v>135</v>
      </c>
      <c r="I24" s="3">
        <v>2024</v>
      </c>
      <c r="J24" s="3">
        <v>51</v>
      </c>
      <c r="K24" s="3">
        <v>30</v>
      </c>
      <c r="L24" s="8">
        <v>560000</v>
      </c>
      <c r="M24" s="8">
        <v>12810353</v>
      </c>
      <c r="N24" s="8">
        <f>Table5[[#This Row],[Actual Money]]-Table5[[#This Row],[Projected Money]]</f>
        <v>12250353</v>
      </c>
      <c r="O24" t="s">
        <v>502</v>
      </c>
      <c r="P24" s="5">
        <v>180</v>
      </c>
      <c r="Q24" t="s">
        <v>706</v>
      </c>
      <c r="R24" t="s">
        <v>707</v>
      </c>
      <c r="S24" t="s">
        <v>708</v>
      </c>
      <c r="T24" t="s">
        <v>31</v>
      </c>
    </row>
    <row r="25" spans="1:20" x14ac:dyDescent="0.2">
      <c r="A25" t="s">
        <v>633</v>
      </c>
      <c r="B25" t="s">
        <v>634</v>
      </c>
      <c r="C25" t="s">
        <v>135</v>
      </c>
      <c r="D25" t="s">
        <v>709</v>
      </c>
      <c r="E25" t="s">
        <v>24</v>
      </c>
      <c r="F25" s="5">
        <v>19</v>
      </c>
      <c r="G25" t="s">
        <v>634</v>
      </c>
      <c r="H25" t="s">
        <v>135</v>
      </c>
      <c r="I25" s="3">
        <v>2024</v>
      </c>
      <c r="J25" s="3">
        <v>10</v>
      </c>
      <c r="K25" s="3">
        <v>29</v>
      </c>
      <c r="L25" s="8">
        <v>27386800</v>
      </c>
      <c r="M25" s="8">
        <v>14194138</v>
      </c>
      <c r="N25" s="8">
        <f>Table5[[#This Row],[Actual Money]]-Table5[[#This Row],[Projected Money]]</f>
        <v>-13192662</v>
      </c>
      <c r="O25" t="s">
        <v>49</v>
      </c>
      <c r="P25" s="5">
        <v>215</v>
      </c>
      <c r="Q25" t="s">
        <v>27</v>
      </c>
      <c r="R25" t="s">
        <v>187</v>
      </c>
      <c r="S25" t="s">
        <v>82</v>
      </c>
      <c r="T25" t="s">
        <v>31</v>
      </c>
    </row>
    <row r="26" spans="1:20" x14ac:dyDescent="0.2">
      <c r="A26" t="s">
        <v>677</v>
      </c>
      <c r="B26" t="s">
        <v>678</v>
      </c>
      <c r="C26" t="s">
        <v>135</v>
      </c>
      <c r="D26" s="1" t="s">
        <v>710</v>
      </c>
      <c r="E26" t="s">
        <v>24</v>
      </c>
      <c r="F26" s="5">
        <v>19</v>
      </c>
      <c r="G26" t="s">
        <v>236</v>
      </c>
      <c r="H26" t="s">
        <v>680</v>
      </c>
      <c r="I26" s="3">
        <v>2023</v>
      </c>
      <c r="J26" s="3">
        <v>0</v>
      </c>
      <c r="K26" s="3">
        <v>28</v>
      </c>
      <c r="L26" s="8">
        <v>0</v>
      </c>
      <c r="M26" s="8">
        <v>12576077</v>
      </c>
      <c r="N26" s="8">
        <f>Table5[[#This Row],[Actual Money]]-Table5[[#This Row],[Projected Money]]</f>
        <v>12576077</v>
      </c>
      <c r="O26" t="s">
        <v>502</v>
      </c>
      <c r="P26" s="5">
        <v>235</v>
      </c>
      <c r="Q26" t="s">
        <v>481</v>
      </c>
      <c r="R26" t="s">
        <v>711</v>
      </c>
      <c r="S26" t="s">
        <v>614</v>
      </c>
      <c r="T26" t="s">
        <v>31</v>
      </c>
    </row>
    <row r="27" spans="1:20" x14ac:dyDescent="0.2">
      <c r="A27" t="s">
        <v>638</v>
      </c>
      <c r="B27" t="s">
        <v>639</v>
      </c>
      <c r="C27" t="s">
        <v>135</v>
      </c>
      <c r="D27" s="1" t="s">
        <v>712</v>
      </c>
      <c r="E27" t="s">
        <v>216</v>
      </c>
      <c r="F27" s="5">
        <v>21</v>
      </c>
      <c r="G27" t="s">
        <v>639</v>
      </c>
      <c r="H27" t="s">
        <v>135</v>
      </c>
      <c r="I27" s="3">
        <v>2023</v>
      </c>
      <c r="J27" s="3" t="s">
        <v>26</v>
      </c>
      <c r="K27" s="3">
        <v>24</v>
      </c>
      <c r="L27" s="8">
        <v>0</v>
      </c>
      <c r="M27" s="8">
        <v>13870583</v>
      </c>
      <c r="N27" s="8">
        <f>Table5[[#This Row],[Actual Money]]-Table5[[#This Row],[Projected Money]]</f>
        <v>13870583</v>
      </c>
      <c r="O27" t="s">
        <v>480</v>
      </c>
      <c r="P27" s="5">
        <v>218</v>
      </c>
      <c r="Q27" t="s">
        <v>550</v>
      </c>
      <c r="R27" t="s">
        <v>625</v>
      </c>
      <c r="S27" t="s">
        <v>626</v>
      </c>
      <c r="T27" t="s">
        <v>185</v>
      </c>
    </row>
    <row r="28" spans="1:20" x14ac:dyDescent="0.2">
      <c r="A28" t="s">
        <v>677</v>
      </c>
      <c r="B28" t="s">
        <v>678</v>
      </c>
      <c r="C28" t="s">
        <v>135</v>
      </c>
      <c r="D28" s="1" t="s">
        <v>713</v>
      </c>
      <c r="E28" t="s">
        <v>24</v>
      </c>
      <c r="F28" s="5">
        <v>19</v>
      </c>
      <c r="G28" t="s">
        <v>236</v>
      </c>
      <c r="H28" t="s">
        <v>680</v>
      </c>
      <c r="I28" s="3">
        <v>2022</v>
      </c>
      <c r="J28" s="3" t="s">
        <v>26</v>
      </c>
      <c r="K28" s="3">
        <v>20</v>
      </c>
      <c r="L28" s="8">
        <v>0</v>
      </c>
      <c r="M28" s="8">
        <v>14177433</v>
      </c>
      <c r="N28" s="8">
        <f>Table5[[#This Row],[Actual Money]]-Table5[[#This Row],[Projected Money]]</f>
        <v>14177433</v>
      </c>
      <c r="O28" t="s">
        <v>473</v>
      </c>
      <c r="P28" s="5">
        <v>180</v>
      </c>
      <c r="Q28" t="s">
        <v>569</v>
      </c>
      <c r="R28" t="s">
        <v>714</v>
      </c>
      <c r="S28" t="s">
        <v>715</v>
      </c>
      <c r="T28" t="s">
        <v>31</v>
      </c>
    </row>
    <row r="29" spans="1:20" x14ac:dyDescent="0.2">
      <c r="A29" t="s">
        <v>638</v>
      </c>
      <c r="B29" t="s">
        <v>639</v>
      </c>
      <c r="C29" t="s">
        <v>135</v>
      </c>
      <c r="D29" s="1" t="s">
        <v>716</v>
      </c>
      <c r="E29" t="s">
        <v>464</v>
      </c>
      <c r="F29" s="5">
        <v>20</v>
      </c>
      <c r="G29" t="s">
        <v>82</v>
      </c>
      <c r="H29" t="s">
        <v>22</v>
      </c>
      <c r="I29" s="3">
        <v>2021</v>
      </c>
      <c r="J29" s="3" t="s">
        <v>26</v>
      </c>
      <c r="K29" s="3">
        <v>19</v>
      </c>
      <c r="L29" s="8">
        <v>0</v>
      </c>
      <c r="M29" s="8">
        <v>13421215</v>
      </c>
      <c r="N29" s="8">
        <f>Table5[[#This Row],[Actual Money]]-Table5[[#This Row],[Projected Money]]</f>
        <v>13421215</v>
      </c>
      <c r="O29" t="s">
        <v>481</v>
      </c>
      <c r="P29" s="5">
        <v>218</v>
      </c>
      <c r="Q29" t="s">
        <v>717</v>
      </c>
      <c r="R29" t="s">
        <v>718</v>
      </c>
      <c r="T29" t="s">
        <v>630</v>
      </c>
    </row>
    <row r="30" spans="1:20" x14ac:dyDescent="0.2">
      <c r="A30" t="s">
        <v>649</v>
      </c>
      <c r="B30" t="s">
        <v>650</v>
      </c>
      <c r="C30" t="s">
        <v>135</v>
      </c>
      <c r="D30" s="1" t="s">
        <v>719</v>
      </c>
      <c r="E30" t="s">
        <v>24</v>
      </c>
      <c r="F30" s="5">
        <v>19</v>
      </c>
      <c r="G30" t="s">
        <v>650</v>
      </c>
      <c r="H30" t="s">
        <v>135</v>
      </c>
      <c r="I30" s="3">
        <v>2025</v>
      </c>
      <c r="J30" s="3" t="s">
        <v>26</v>
      </c>
      <c r="K30" s="3">
        <v>15</v>
      </c>
      <c r="L30" s="11">
        <v>3879200</v>
      </c>
      <c r="M30" s="8">
        <v>22512733</v>
      </c>
      <c r="N30" s="8">
        <f>Table5[[#This Row],[Actual Money]]-Table5[[#This Row],[Projected Money]]</f>
        <v>18633533</v>
      </c>
      <c r="O30" t="s">
        <v>569</v>
      </c>
      <c r="P30" s="5">
        <v>255</v>
      </c>
      <c r="Q30" t="s">
        <v>698</v>
      </c>
      <c r="R30" t="s">
        <v>391</v>
      </c>
      <c r="S30" t="s">
        <v>720</v>
      </c>
      <c r="T30" t="s">
        <v>31</v>
      </c>
    </row>
    <row r="31" spans="1:20" x14ac:dyDescent="0.2">
      <c r="A31" t="s">
        <v>633</v>
      </c>
      <c r="B31" t="s">
        <v>634</v>
      </c>
      <c r="C31" t="s">
        <v>135</v>
      </c>
      <c r="D31" t="s">
        <v>721</v>
      </c>
      <c r="E31" t="s">
        <v>464</v>
      </c>
      <c r="F31" s="5">
        <v>21</v>
      </c>
      <c r="G31" t="s">
        <v>634</v>
      </c>
      <c r="H31" t="s">
        <v>135</v>
      </c>
      <c r="I31" s="3">
        <v>2023</v>
      </c>
      <c r="J31" s="3">
        <v>34</v>
      </c>
      <c r="K31" s="3">
        <v>14</v>
      </c>
      <c r="L31" s="8">
        <v>560000</v>
      </c>
      <c r="M31" s="8">
        <v>20599055</v>
      </c>
      <c r="N31" s="8">
        <f>Table5[[#This Row],[Actual Money]]-Table5[[#This Row],[Projected Money]]</f>
        <v>20039055</v>
      </c>
      <c r="O31" t="s">
        <v>63</v>
      </c>
      <c r="P31" s="5">
        <v>185</v>
      </c>
      <c r="Q31" t="s">
        <v>49</v>
      </c>
      <c r="R31" t="s">
        <v>722</v>
      </c>
      <c r="S31" t="s">
        <v>151</v>
      </c>
      <c r="T31" t="s">
        <v>31</v>
      </c>
    </row>
    <row r="32" spans="1:20" x14ac:dyDescent="0.2">
      <c r="A32" t="s">
        <v>667</v>
      </c>
      <c r="B32" t="s">
        <v>668</v>
      </c>
      <c r="C32" t="s">
        <v>135</v>
      </c>
      <c r="D32" t="s">
        <v>723</v>
      </c>
      <c r="E32" t="s">
        <v>24</v>
      </c>
      <c r="F32" s="5">
        <v>20</v>
      </c>
      <c r="G32" t="s">
        <v>670</v>
      </c>
      <c r="H32" t="s">
        <v>135</v>
      </c>
      <c r="I32" s="3">
        <v>2025</v>
      </c>
      <c r="J32" s="3">
        <v>24</v>
      </c>
      <c r="K32" s="3">
        <v>13</v>
      </c>
      <c r="L32" s="8">
        <v>15769801</v>
      </c>
      <c r="M32" s="8">
        <v>24355798</v>
      </c>
      <c r="N32" s="8">
        <f>Table5[[#This Row],[Actual Money]]-Table5[[#This Row],[Projected Money]]</f>
        <v>8585997</v>
      </c>
      <c r="O32" t="s">
        <v>40</v>
      </c>
      <c r="P32" s="5">
        <v>248</v>
      </c>
      <c r="Q32" t="s">
        <v>450</v>
      </c>
      <c r="R32" t="s">
        <v>340</v>
      </c>
      <c r="S32" t="s">
        <v>151</v>
      </c>
      <c r="T32" t="s">
        <v>31</v>
      </c>
    </row>
    <row r="33" spans="1:20" x14ac:dyDescent="0.2">
      <c r="A33" t="s">
        <v>724</v>
      </c>
      <c r="B33" t="s">
        <v>652</v>
      </c>
      <c r="C33" t="s">
        <v>135</v>
      </c>
      <c r="D33" s="1" t="s">
        <v>725</v>
      </c>
      <c r="E33" t="s">
        <v>107</v>
      </c>
      <c r="F33" s="5">
        <v>22</v>
      </c>
      <c r="G33" t="s">
        <v>652</v>
      </c>
      <c r="H33" t="s">
        <v>135</v>
      </c>
      <c r="I33" s="3">
        <v>2024</v>
      </c>
      <c r="J33" s="1" t="s">
        <v>26</v>
      </c>
      <c r="K33" s="3">
        <v>13</v>
      </c>
      <c r="L33" s="8">
        <v>0</v>
      </c>
      <c r="M33" s="8">
        <v>22206623</v>
      </c>
      <c r="N33" s="8">
        <f>Table5[[#This Row],[Actual Money]]-Table5[[#This Row],[Projected Money]]</f>
        <v>22206623</v>
      </c>
      <c r="O33" t="s">
        <v>525</v>
      </c>
      <c r="P33" s="5">
        <v>188</v>
      </c>
      <c r="Q33" t="s">
        <v>597</v>
      </c>
      <c r="R33" t="s">
        <v>453</v>
      </c>
      <c r="S33" t="s">
        <v>614</v>
      </c>
      <c r="T33" t="s">
        <v>31</v>
      </c>
    </row>
    <row r="34" spans="1:20" x14ac:dyDescent="0.2">
      <c r="A34" t="s">
        <v>633</v>
      </c>
      <c r="B34" t="s">
        <v>634</v>
      </c>
      <c r="C34" t="s">
        <v>135</v>
      </c>
      <c r="D34" t="s">
        <v>726</v>
      </c>
      <c r="E34" t="s">
        <v>464</v>
      </c>
      <c r="F34" s="5">
        <v>21</v>
      </c>
      <c r="G34" t="s">
        <v>634</v>
      </c>
      <c r="H34" t="s">
        <v>135</v>
      </c>
      <c r="I34" s="3">
        <v>2021</v>
      </c>
      <c r="J34" s="3">
        <v>17</v>
      </c>
      <c r="K34" s="3">
        <v>11</v>
      </c>
      <c r="L34" s="8">
        <v>14779415</v>
      </c>
      <c r="M34" s="8">
        <v>19151217</v>
      </c>
      <c r="N34" s="8">
        <f>Table5[[#This Row],[Actual Money]]-Table5[[#This Row],[Projected Money]]</f>
        <v>4371802</v>
      </c>
      <c r="O34" t="s">
        <v>63</v>
      </c>
      <c r="P34" s="5">
        <v>190</v>
      </c>
      <c r="Q34" t="s">
        <v>727</v>
      </c>
      <c r="R34" t="s">
        <v>728</v>
      </c>
      <c r="S34" t="s">
        <v>113</v>
      </c>
      <c r="T34" t="s">
        <v>31</v>
      </c>
    </row>
    <row r="35" spans="1:20" x14ac:dyDescent="0.2">
      <c r="A35" t="s">
        <v>633</v>
      </c>
      <c r="B35" t="s">
        <v>634</v>
      </c>
      <c r="C35" t="s">
        <v>135</v>
      </c>
      <c r="D35" t="s">
        <v>729</v>
      </c>
      <c r="E35" t="s">
        <v>464</v>
      </c>
      <c r="F35" s="5">
        <v>20</v>
      </c>
      <c r="G35" t="s">
        <v>634</v>
      </c>
      <c r="H35" t="s">
        <v>135</v>
      </c>
      <c r="I35" s="3">
        <v>2024</v>
      </c>
      <c r="J35" s="3">
        <v>6</v>
      </c>
      <c r="K35" s="3">
        <v>7</v>
      </c>
      <c r="L35" s="8">
        <v>34135176</v>
      </c>
      <c r="M35" s="8">
        <v>31176028</v>
      </c>
      <c r="N35" s="8">
        <f>Table5[[#This Row],[Actual Money]]-Table5[[#This Row],[Projected Money]]</f>
        <v>-2959148</v>
      </c>
      <c r="O35" t="s">
        <v>108</v>
      </c>
      <c r="P35" s="5">
        <v>282</v>
      </c>
      <c r="Q35" t="s">
        <v>440</v>
      </c>
      <c r="R35" t="s">
        <v>730</v>
      </c>
      <c r="S35" t="s">
        <v>731</v>
      </c>
      <c r="T35" t="s">
        <v>31</v>
      </c>
    </row>
    <row r="36" spans="1:20" x14ac:dyDescent="0.2">
      <c r="A36" t="s">
        <v>633</v>
      </c>
      <c r="B36" t="s">
        <v>634</v>
      </c>
      <c r="C36" t="s">
        <v>135</v>
      </c>
      <c r="D36" t="s">
        <v>732</v>
      </c>
      <c r="E36" t="s">
        <v>24</v>
      </c>
      <c r="F36" s="5">
        <v>19</v>
      </c>
      <c r="G36" t="s">
        <v>634</v>
      </c>
      <c r="H36" t="s">
        <v>135</v>
      </c>
      <c r="I36" s="3">
        <v>2024</v>
      </c>
      <c r="J36" s="3">
        <v>7</v>
      </c>
      <c r="K36" s="3">
        <v>4</v>
      </c>
      <c r="L36" s="8">
        <v>31176028</v>
      </c>
      <c r="M36" s="8">
        <v>41473010</v>
      </c>
      <c r="N36" s="8">
        <f>Table5[[#This Row],[Actual Money]]-Table5[[#This Row],[Projected Money]]</f>
        <v>10296982</v>
      </c>
      <c r="O36" t="s">
        <v>63</v>
      </c>
      <c r="P36" s="5">
        <v>210</v>
      </c>
      <c r="Q36" t="s">
        <v>40</v>
      </c>
      <c r="R36" t="s">
        <v>733</v>
      </c>
      <c r="S36" t="s">
        <v>734</v>
      </c>
      <c r="T36" t="s">
        <v>31</v>
      </c>
    </row>
  </sheetData>
  <hyperlinks>
    <hyperlink ref="S35" r:id="rId1" xr:uid="{E6D067CF-6165-49F7-A958-2D6E7E800742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9AF3-490A-9448-BF53-65BA7634C34C}">
  <dimension ref="A1:T18"/>
  <sheetViews>
    <sheetView workbookViewId="0">
      <selection activeCell="J18" sqref="J18"/>
    </sheetView>
  </sheetViews>
  <sheetFormatPr baseColWidth="10" defaultColWidth="11" defaultRowHeight="16" x14ac:dyDescent="0.2"/>
  <cols>
    <col min="1" max="1" width="15" customWidth="1"/>
    <col min="2" max="2" width="20.33203125" customWidth="1"/>
    <col min="3" max="3" width="25.5" customWidth="1"/>
    <col min="4" max="4" width="14.5" customWidth="1"/>
    <col min="6" max="6" width="11" style="5"/>
    <col min="8" max="8" width="18.6640625" customWidth="1"/>
    <col min="9" max="9" width="8.83203125" customWidth="1"/>
    <col min="10" max="10" width="15.5" customWidth="1"/>
    <col min="11" max="11" width="12.83203125" customWidth="1"/>
    <col min="12" max="12" width="18.5" customWidth="1"/>
    <col min="13" max="13" width="16" customWidth="1"/>
    <col min="14" max="14" width="16.83203125" customWidth="1"/>
    <col min="16" max="16" width="11" style="5"/>
    <col min="17" max="17" width="11.6640625" customWidth="1"/>
    <col min="18" max="18" width="12.1640625" customWidth="1"/>
    <col min="19" max="19" width="13.1640625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7" t="s">
        <v>11</v>
      </c>
      <c r="M1" s="1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">
      <c r="A2" s="63" t="s">
        <v>737</v>
      </c>
      <c r="B2" s="63" t="s">
        <v>119</v>
      </c>
      <c r="C2" s="41" t="s">
        <v>738</v>
      </c>
      <c r="D2" s="63" t="s">
        <v>748</v>
      </c>
      <c r="E2" s="41" t="s">
        <v>39</v>
      </c>
      <c r="F2" s="57">
        <v>23</v>
      </c>
      <c r="G2" s="41" t="s">
        <v>740</v>
      </c>
      <c r="H2" s="41" t="s">
        <v>738</v>
      </c>
      <c r="I2" s="57">
        <v>2024</v>
      </c>
      <c r="J2" s="64">
        <v>56</v>
      </c>
      <c r="K2" s="64" t="s">
        <v>26</v>
      </c>
      <c r="L2" s="60">
        <v>560000</v>
      </c>
      <c r="M2" s="60"/>
      <c r="N2" s="60">
        <f>M2-L2</f>
        <v>-560000</v>
      </c>
      <c r="O2" s="41" t="s">
        <v>40</v>
      </c>
      <c r="P2" s="57">
        <v>205</v>
      </c>
      <c r="Q2" s="41" t="s">
        <v>108</v>
      </c>
      <c r="R2" s="41" t="s">
        <v>749</v>
      </c>
      <c r="S2" s="41" t="s">
        <v>113</v>
      </c>
      <c r="T2" s="41" t="s">
        <v>31</v>
      </c>
    </row>
    <row r="3" spans="1:20" x14ac:dyDescent="0.2">
      <c r="A3" s="1" t="s">
        <v>750</v>
      </c>
      <c r="B3" s="1" t="s">
        <v>751</v>
      </c>
      <c r="C3" t="s">
        <v>738</v>
      </c>
      <c r="D3" s="1" t="s">
        <v>204</v>
      </c>
      <c r="E3" s="1" t="s">
        <v>204</v>
      </c>
      <c r="F3" s="3" t="s">
        <v>204</v>
      </c>
      <c r="G3" s="1" t="s">
        <v>204</v>
      </c>
      <c r="H3" s="1" t="s">
        <v>204</v>
      </c>
      <c r="I3" s="1" t="s">
        <v>204</v>
      </c>
      <c r="J3" s="1" t="s">
        <v>204</v>
      </c>
      <c r="K3" s="1" t="s">
        <v>204</v>
      </c>
    </row>
    <row r="4" spans="1:20" x14ac:dyDescent="0.2">
      <c r="A4" s="1" t="s">
        <v>752</v>
      </c>
      <c r="B4" s="1" t="s">
        <v>753</v>
      </c>
      <c r="C4" t="s">
        <v>738</v>
      </c>
      <c r="D4" s="1" t="s">
        <v>204</v>
      </c>
      <c r="E4" s="1" t="s">
        <v>204</v>
      </c>
      <c r="F4" s="3" t="s">
        <v>204</v>
      </c>
      <c r="G4" s="1" t="s">
        <v>204</v>
      </c>
      <c r="H4" s="1" t="s">
        <v>204</v>
      </c>
      <c r="I4" s="1" t="s">
        <v>204</v>
      </c>
      <c r="J4" s="1" t="s">
        <v>204</v>
      </c>
      <c r="K4" s="1" t="s">
        <v>204</v>
      </c>
    </row>
    <row r="5" spans="1:20" x14ac:dyDescent="0.2">
      <c r="A5" s="1" t="s">
        <v>754</v>
      </c>
      <c r="B5" s="1" t="s">
        <v>755</v>
      </c>
      <c r="C5" t="s">
        <v>738</v>
      </c>
      <c r="D5" s="1" t="s">
        <v>204</v>
      </c>
      <c r="E5" s="1" t="s">
        <v>204</v>
      </c>
      <c r="F5" s="3" t="s">
        <v>204</v>
      </c>
      <c r="G5" s="1" t="s">
        <v>204</v>
      </c>
      <c r="H5" s="1" t="s">
        <v>204</v>
      </c>
      <c r="I5" s="1" t="s">
        <v>204</v>
      </c>
      <c r="J5" s="1" t="s">
        <v>204</v>
      </c>
      <c r="K5" s="1" t="s">
        <v>204</v>
      </c>
    </row>
    <row r="6" spans="1:20" s="41" customFormat="1" x14ac:dyDescent="0.2">
      <c r="A6" s="1" t="s">
        <v>756</v>
      </c>
      <c r="B6" s="1" t="s">
        <v>757</v>
      </c>
      <c r="C6" t="s">
        <v>738</v>
      </c>
      <c r="D6" s="1" t="s">
        <v>204</v>
      </c>
      <c r="E6" s="1" t="s">
        <v>204</v>
      </c>
      <c r="F6" s="3" t="s">
        <v>204</v>
      </c>
      <c r="G6" s="1" t="s">
        <v>204</v>
      </c>
      <c r="H6" s="1" t="s">
        <v>204</v>
      </c>
      <c r="I6" s="1" t="s">
        <v>204</v>
      </c>
      <c r="J6" s="1" t="s">
        <v>204</v>
      </c>
      <c r="K6" s="1" t="s">
        <v>204</v>
      </c>
      <c r="L6"/>
      <c r="M6"/>
      <c r="N6"/>
      <c r="O6"/>
      <c r="P6" s="5"/>
      <c r="Q6"/>
      <c r="R6"/>
      <c r="S6"/>
      <c r="T6"/>
    </row>
    <row r="7" spans="1:20" s="41" customFormat="1" x14ac:dyDescent="0.2">
      <c r="A7" s="1" t="s">
        <v>758</v>
      </c>
      <c r="B7" s="1" t="s">
        <v>759</v>
      </c>
      <c r="C7" t="s">
        <v>738</v>
      </c>
      <c r="D7" s="1" t="s">
        <v>204</v>
      </c>
      <c r="E7" s="1" t="s">
        <v>204</v>
      </c>
      <c r="F7" s="3" t="s">
        <v>204</v>
      </c>
      <c r="G7" s="1" t="s">
        <v>204</v>
      </c>
      <c r="H7" s="1" t="s">
        <v>204</v>
      </c>
      <c r="I7" s="1" t="s">
        <v>204</v>
      </c>
      <c r="J7" s="1" t="s">
        <v>204</v>
      </c>
      <c r="K7" s="1" t="s">
        <v>204</v>
      </c>
      <c r="L7"/>
      <c r="M7"/>
      <c r="N7"/>
      <c r="O7"/>
      <c r="P7" s="5"/>
      <c r="Q7"/>
      <c r="R7"/>
      <c r="S7"/>
      <c r="T7"/>
    </row>
    <row r="8" spans="1:20" x14ac:dyDescent="0.2">
      <c r="A8" s="1" t="s">
        <v>760</v>
      </c>
      <c r="B8" s="1" t="s">
        <v>147</v>
      </c>
      <c r="C8" t="s">
        <v>738</v>
      </c>
      <c r="D8" s="1" t="s">
        <v>204</v>
      </c>
      <c r="E8" s="1" t="s">
        <v>204</v>
      </c>
      <c r="F8" s="3" t="s">
        <v>204</v>
      </c>
      <c r="G8" s="1" t="s">
        <v>204</v>
      </c>
      <c r="H8" s="1" t="s">
        <v>204</v>
      </c>
      <c r="I8" s="1" t="s">
        <v>204</v>
      </c>
      <c r="J8" s="1" t="s">
        <v>204</v>
      </c>
      <c r="K8" s="1" t="s">
        <v>204</v>
      </c>
    </row>
    <row r="9" spans="1:20" x14ac:dyDescent="0.2">
      <c r="A9" s="1" t="s">
        <v>761</v>
      </c>
      <c r="B9" s="1" t="s">
        <v>762</v>
      </c>
      <c r="C9" t="s">
        <v>738</v>
      </c>
      <c r="D9" s="1" t="s">
        <v>204</v>
      </c>
      <c r="E9" s="1" t="s">
        <v>204</v>
      </c>
      <c r="F9" s="3" t="s">
        <v>204</v>
      </c>
      <c r="G9" s="1" t="s">
        <v>204</v>
      </c>
      <c r="H9" s="1" t="s">
        <v>204</v>
      </c>
      <c r="I9" s="1" t="s">
        <v>204</v>
      </c>
      <c r="J9" s="1" t="s">
        <v>204</v>
      </c>
      <c r="K9" s="1" t="s">
        <v>204</v>
      </c>
    </row>
    <row r="10" spans="1:20" x14ac:dyDescent="0.2">
      <c r="A10" s="1" t="s">
        <v>763</v>
      </c>
      <c r="B10" s="1" t="s">
        <v>764</v>
      </c>
      <c r="C10" t="s">
        <v>738</v>
      </c>
      <c r="D10" s="1" t="s">
        <v>204</v>
      </c>
      <c r="E10" s="1" t="s">
        <v>204</v>
      </c>
      <c r="F10" s="3" t="s">
        <v>204</v>
      </c>
      <c r="G10" s="1" t="s">
        <v>204</v>
      </c>
      <c r="H10" s="1" t="s">
        <v>204</v>
      </c>
      <c r="I10" s="1" t="s">
        <v>204</v>
      </c>
      <c r="J10" s="1" t="s">
        <v>204</v>
      </c>
      <c r="K10" s="1" t="s">
        <v>204</v>
      </c>
    </row>
    <row r="11" spans="1:20" x14ac:dyDescent="0.2">
      <c r="A11" s="1" t="s">
        <v>765</v>
      </c>
      <c r="B11" s="1" t="s">
        <v>766</v>
      </c>
      <c r="C11" t="s">
        <v>738</v>
      </c>
      <c r="D11" s="1" t="s">
        <v>204</v>
      </c>
      <c r="E11" s="1" t="s">
        <v>204</v>
      </c>
      <c r="F11" s="3" t="s">
        <v>204</v>
      </c>
      <c r="G11" s="1" t="s">
        <v>204</v>
      </c>
      <c r="H11" s="1" t="s">
        <v>204</v>
      </c>
      <c r="I11" s="1" t="s">
        <v>204</v>
      </c>
      <c r="J11" s="1" t="s">
        <v>204</v>
      </c>
      <c r="K11" s="1" t="s">
        <v>204</v>
      </c>
    </row>
    <row r="12" spans="1:20" x14ac:dyDescent="0.2">
      <c r="A12" s="1" t="s">
        <v>767</v>
      </c>
      <c r="B12" s="1" t="s">
        <v>768</v>
      </c>
      <c r="C12" t="s">
        <v>738</v>
      </c>
      <c r="D12" s="1" t="s">
        <v>204</v>
      </c>
      <c r="E12" s="1" t="s">
        <v>204</v>
      </c>
      <c r="F12" s="3" t="s">
        <v>204</v>
      </c>
      <c r="G12" s="1" t="s">
        <v>204</v>
      </c>
      <c r="H12" s="1" t="s">
        <v>204</v>
      </c>
      <c r="I12" s="1" t="s">
        <v>204</v>
      </c>
      <c r="J12" s="1" t="s">
        <v>204</v>
      </c>
      <c r="K12" s="1" t="s">
        <v>204</v>
      </c>
    </row>
    <row r="13" spans="1:20" x14ac:dyDescent="0.2">
      <c r="A13" s="1" t="s">
        <v>769</v>
      </c>
      <c r="B13" s="1" t="s">
        <v>770</v>
      </c>
      <c r="C13" t="s">
        <v>738</v>
      </c>
      <c r="D13" s="1" t="s">
        <v>204</v>
      </c>
      <c r="E13" s="1" t="s">
        <v>204</v>
      </c>
      <c r="F13" s="3" t="s">
        <v>204</v>
      </c>
      <c r="G13" s="1" t="s">
        <v>204</v>
      </c>
      <c r="H13" s="1" t="s">
        <v>204</v>
      </c>
      <c r="I13" s="1" t="s">
        <v>204</v>
      </c>
      <c r="J13" s="1" t="s">
        <v>204</v>
      </c>
      <c r="K13" s="1" t="s">
        <v>204</v>
      </c>
    </row>
    <row r="14" spans="1:20" x14ac:dyDescent="0.2">
      <c r="A14" s="63" t="s">
        <v>737</v>
      </c>
      <c r="B14" s="63" t="s">
        <v>119</v>
      </c>
      <c r="C14" s="41" t="s">
        <v>738</v>
      </c>
      <c r="D14" s="63" t="s">
        <v>746</v>
      </c>
      <c r="E14" s="41" t="s">
        <v>338</v>
      </c>
      <c r="F14" s="57">
        <v>19</v>
      </c>
      <c r="G14" s="41" t="s">
        <v>740</v>
      </c>
      <c r="H14" s="41" t="s">
        <v>738</v>
      </c>
      <c r="I14" s="57">
        <v>2022</v>
      </c>
      <c r="J14" s="64" t="s">
        <v>26</v>
      </c>
      <c r="K14" s="64">
        <v>45</v>
      </c>
      <c r="L14" s="60">
        <v>0</v>
      </c>
      <c r="M14" s="60">
        <v>2737645</v>
      </c>
      <c r="N14" s="60">
        <f>M14-L14</f>
        <v>2737645</v>
      </c>
      <c r="O14" s="41" t="s">
        <v>27</v>
      </c>
      <c r="P14" s="57">
        <v>205</v>
      </c>
      <c r="Q14" s="41" t="s">
        <v>59</v>
      </c>
      <c r="R14" s="41" t="s">
        <v>747</v>
      </c>
      <c r="S14" s="41" t="s">
        <v>33</v>
      </c>
      <c r="T14" s="41" t="s">
        <v>31</v>
      </c>
    </row>
    <row r="15" spans="1:20" x14ac:dyDescent="0.2">
      <c r="A15" s="1" t="s">
        <v>737</v>
      </c>
      <c r="B15" s="1" t="s">
        <v>119</v>
      </c>
      <c r="C15" t="s">
        <v>738</v>
      </c>
      <c r="D15" s="1" t="s">
        <v>742</v>
      </c>
      <c r="E15" t="s">
        <v>338</v>
      </c>
      <c r="F15" s="5">
        <v>21</v>
      </c>
      <c r="G15" t="s">
        <v>740</v>
      </c>
      <c r="H15" t="s">
        <v>738</v>
      </c>
      <c r="I15" s="5">
        <v>2020</v>
      </c>
      <c r="J15" s="3">
        <v>10</v>
      </c>
      <c r="K15" s="3">
        <v>20</v>
      </c>
      <c r="L15" s="14">
        <v>19328334</v>
      </c>
      <c r="M15" s="14">
        <v>12513127</v>
      </c>
      <c r="N15" s="14">
        <f>M15-L15</f>
        <v>-6815207</v>
      </c>
      <c r="O15" t="s">
        <v>40</v>
      </c>
      <c r="P15" s="5">
        <v>235</v>
      </c>
      <c r="Q15" t="s">
        <v>41</v>
      </c>
      <c r="R15" t="s">
        <v>743</v>
      </c>
      <c r="S15" t="s">
        <v>113</v>
      </c>
      <c r="T15" t="s">
        <v>31</v>
      </c>
    </row>
    <row r="16" spans="1:20" x14ac:dyDescent="0.2">
      <c r="A16" s="1" t="s">
        <v>737</v>
      </c>
      <c r="B16" s="1" t="s">
        <v>119</v>
      </c>
      <c r="C16" t="s">
        <v>738</v>
      </c>
      <c r="D16" s="1" t="s">
        <v>744</v>
      </c>
      <c r="E16" t="s">
        <v>338</v>
      </c>
      <c r="F16" s="5">
        <v>18</v>
      </c>
      <c r="G16" t="s">
        <v>740</v>
      </c>
      <c r="H16" t="s">
        <v>738</v>
      </c>
      <c r="I16" s="5">
        <v>2022</v>
      </c>
      <c r="J16" s="3">
        <v>3</v>
      </c>
      <c r="K16" s="3">
        <v>13</v>
      </c>
      <c r="L16" s="14">
        <v>40330432</v>
      </c>
      <c r="M16" s="14">
        <v>19474944</v>
      </c>
      <c r="N16" s="14">
        <f>M16-L16</f>
        <v>-20855488</v>
      </c>
      <c r="O16" t="s">
        <v>59</v>
      </c>
      <c r="P16" s="5">
        <v>250</v>
      </c>
      <c r="Q16" t="s">
        <v>93</v>
      </c>
      <c r="R16" t="s">
        <v>745</v>
      </c>
      <c r="S16" t="s">
        <v>30</v>
      </c>
      <c r="T16" t="s">
        <v>31</v>
      </c>
    </row>
    <row r="17" spans="1:20" x14ac:dyDescent="0.2">
      <c r="A17" s="1" t="s">
        <v>737</v>
      </c>
      <c r="B17" s="1" t="s">
        <v>119</v>
      </c>
      <c r="C17" t="s">
        <v>738</v>
      </c>
      <c r="D17" t="s">
        <v>739</v>
      </c>
      <c r="E17" t="s">
        <v>338</v>
      </c>
      <c r="F17" s="5">
        <v>19</v>
      </c>
      <c r="G17" t="s">
        <v>740</v>
      </c>
      <c r="H17" t="s">
        <v>738</v>
      </c>
      <c r="I17" s="5">
        <v>2020</v>
      </c>
      <c r="J17" s="3">
        <v>1</v>
      </c>
      <c r="K17" s="3">
        <v>2</v>
      </c>
      <c r="L17" s="14">
        <v>44271137</v>
      </c>
      <c r="M17" s="14">
        <v>39619840</v>
      </c>
      <c r="N17" s="14">
        <f>M17-L17</f>
        <v>-4651297</v>
      </c>
      <c r="O17" t="s">
        <v>141</v>
      </c>
      <c r="P17" s="5">
        <v>235</v>
      </c>
      <c r="Q17" t="s">
        <v>741</v>
      </c>
      <c r="R17" t="s">
        <v>121</v>
      </c>
      <c r="S17" t="s">
        <v>53</v>
      </c>
      <c r="T17" t="s">
        <v>31</v>
      </c>
    </row>
    <row r="18" spans="1:20" x14ac:dyDescent="0.2">
      <c r="A18" s="1" t="s">
        <v>735</v>
      </c>
      <c r="B18" s="1" t="s">
        <v>736</v>
      </c>
      <c r="C18" t="s">
        <v>204</v>
      </c>
      <c r="D18" t="s">
        <v>204</v>
      </c>
      <c r="E18" t="s">
        <v>204</v>
      </c>
      <c r="F18" s="5" t="s">
        <v>204</v>
      </c>
      <c r="G18" t="s">
        <v>204</v>
      </c>
      <c r="H18" t="s">
        <v>204</v>
      </c>
      <c r="I18" t="s">
        <v>204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F320-9186-9645-B7C6-2448EEEF7BE5}">
  <dimension ref="A1:T13"/>
  <sheetViews>
    <sheetView workbookViewId="0">
      <selection activeCell="C7" sqref="C7"/>
    </sheetView>
  </sheetViews>
  <sheetFormatPr baseColWidth="10" defaultColWidth="11" defaultRowHeight="16" x14ac:dyDescent="0.2"/>
  <cols>
    <col min="1" max="1" width="14.83203125" customWidth="1"/>
    <col min="2" max="2" width="20.33203125" customWidth="1"/>
    <col min="3" max="3" width="25.5" customWidth="1"/>
    <col min="4" max="4" width="14.1640625" customWidth="1"/>
    <col min="7" max="7" width="13.6640625" customWidth="1"/>
    <col min="8" max="8" width="18.83203125" customWidth="1"/>
    <col min="10" max="10" width="15.5" customWidth="1"/>
    <col min="11" max="11" width="12.83203125" customWidth="1"/>
    <col min="12" max="12" width="18.5" customWidth="1"/>
    <col min="13" max="13" width="15.83203125" customWidth="1"/>
    <col min="14" max="14" width="17" customWidth="1"/>
    <col min="17" max="17" width="11.6640625" customWidth="1"/>
    <col min="18" max="18" width="14.5" bestFit="1" customWidth="1"/>
    <col min="19" max="19" width="13.1640625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s="35" customFormat="1" x14ac:dyDescent="0.2">
      <c r="A2" s="48" t="s">
        <v>771</v>
      </c>
      <c r="B2" s="48" t="s">
        <v>772</v>
      </c>
      <c r="C2" s="35" t="s">
        <v>773</v>
      </c>
      <c r="D2" s="48" t="s">
        <v>775</v>
      </c>
      <c r="E2" s="48" t="s">
        <v>204</v>
      </c>
      <c r="F2" s="48" t="s">
        <v>204</v>
      </c>
      <c r="G2" s="48" t="s">
        <v>772</v>
      </c>
      <c r="H2" s="48" t="s">
        <v>305</v>
      </c>
      <c r="I2" s="46">
        <v>2020</v>
      </c>
      <c r="J2" s="61">
        <v>51</v>
      </c>
      <c r="K2" s="61">
        <v>51</v>
      </c>
      <c r="L2" s="47">
        <v>0</v>
      </c>
      <c r="M2" s="47">
        <v>0</v>
      </c>
      <c r="O2" s="35" t="s">
        <v>543</v>
      </c>
      <c r="P2" s="35">
        <v>202</v>
      </c>
      <c r="Q2" s="35" t="s">
        <v>569</v>
      </c>
      <c r="R2" s="35" t="s">
        <v>776</v>
      </c>
      <c r="S2" s="35" t="s">
        <v>777</v>
      </c>
      <c r="T2" s="35" t="s">
        <v>31</v>
      </c>
    </row>
    <row r="3" spans="1:20" x14ac:dyDescent="0.2">
      <c r="A3" s="1" t="s">
        <v>786</v>
      </c>
      <c r="B3" s="1" t="s">
        <v>304</v>
      </c>
      <c r="C3" t="s">
        <v>773</v>
      </c>
      <c r="D3" s="1" t="s">
        <v>787</v>
      </c>
      <c r="E3" s="1" t="s">
        <v>204</v>
      </c>
      <c r="F3" s="1" t="s">
        <v>204</v>
      </c>
      <c r="G3" s="1" t="s">
        <v>304</v>
      </c>
      <c r="H3" s="1" t="s">
        <v>305</v>
      </c>
      <c r="I3" s="5">
        <v>2025</v>
      </c>
      <c r="J3" s="1" t="s">
        <v>26</v>
      </c>
      <c r="K3" s="3">
        <v>24</v>
      </c>
      <c r="L3" s="8">
        <v>0</v>
      </c>
      <c r="M3" s="8">
        <v>15769801</v>
      </c>
      <c r="N3" s="8">
        <v>0</v>
      </c>
      <c r="O3" t="s">
        <v>473</v>
      </c>
      <c r="P3">
        <v>175</v>
      </c>
      <c r="Q3" t="s">
        <v>480</v>
      </c>
      <c r="R3" t="s">
        <v>788</v>
      </c>
      <c r="S3" t="s">
        <v>777</v>
      </c>
      <c r="T3" t="s">
        <v>31</v>
      </c>
    </row>
    <row r="4" spans="1:20" x14ac:dyDescent="0.2">
      <c r="A4" s="1" t="s">
        <v>778</v>
      </c>
      <c r="B4" s="1" t="s">
        <v>779</v>
      </c>
      <c r="C4" t="s">
        <v>773</v>
      </c>
      <c r="D4" s="1" t="s">
        <v>780</v>
      </c>
      <c r="E4" s="1" t="s">
        <v>204</v>
      </c>
      <c r="F4" s="1" t="s">
        <v>204</v>
      </c>
      <c r="G4" s="1" t="s">
        <v>779</v>
      </c>
      <c r="H4" s="1" t="s">
        <v>305</v>
      </c>
      <c r="I4" s="5">
        <v>2020</v>
      </c>
      <c r="J4" s="1" t="s">
        <v>26</v>
      </c>
      <c r="K4" s="3">
        <v>29</v>
      </c>
      <c r="L4" s="8">
        <v>0</v>
      </c>
      <c r="M4" s="8">
        <v>10017385</v>
      </c>
      <c r="N4" s="2">
        <v>10017385</v>
      </c>
      <c r="O4" t="s">
        <v>524</v>
      </c>
      <c r="P4">
        <v>185</v>
      </c>
      <c r="Q4" t="s">
        <v>525</v>
      </c>
      <c r="R4" t="s">
        <v>781</v>
      </c>
      <c r="S4" t="s">
        <v>782</v>
      </c>
      <c r="T4" t="s">
        <v>31</v>
      </c>
    </row>
    <row r="5" spans="1:20" x14ac:dyDescent="0.2">
      <c r="A5" s="1" t="s">
        <v>783</v>
      </c>
      <c r="B5" s="1" t="s">
        <v>784</v>
      </c>
      <c r="C5" t="s">
        <v>773</v>
      </c>
      <c r="D5" s="1" t="s">
        <v>785</v>
      </c>
      <c r="E5" s="1" t="s">
        <v>204</v>
      </c>
      <c r="F5" s="1" t="s">
        <v>204</v>
      </c>
      <c r="G5" s="1" t="s">
        <v>784</v>
      </c>
      <c r="H5" s="1" t="s">
        <v>305</v>
      </c>
      <c r="I5" s="5">
        <v>2020</v>
      </c>
      <c r="J5" s="1" t="s">
        <v>26</v>
      </c>
      <c r="K5" s="3">
        <v>59</v>
      </c>
      <c r="L5" s="8">
        <v>0</v>
      </c>
      <c r="M5" s="8">
        <v>560000</v>
      </c>
      <c r="N5" s="2">
        <f>M5-L5</f>
        <v>560000</v>
      </c>
      <c r="O5" t="s">
        <v>473</v>
      </c>
      <c r="P5">
        <v>195</v>
      </c>
      <c r="Q5" t="s">
        <v>543</v>
      </c>
      <c r="R5" t="s">
        <v>329</v>
      </c>
      <c r="S5" t="s">
        <v>462</v>
      </c>
      <c r="T5" t="s">
        <v>31</v>
      </c>
    </row>
    <row r="6" spans="1:20" x14ac:dyDescent="0.2">
      <c r="A6" s="1" t="s">
        <v>789</v>
      </c>
      <c r="B6" s="1" t="s">
        <v>538</v>
      </c>
      <c r="C6" t="s">
        <v>773</v>
      </c>
      <c r="D6" s="1" t="s">
        <v>204</v>
      </c>
      <c r="E6" s="1" t="s">
        <v>204</v>
      </c>
      <c r="F6" s="1" t="s">
        <v>204</v>
      </c>
      <c r="G6" s="1" t="s">
        <v>204</v>
      </c>
      <c r="H6" s="1" t="s">
        <v>204</v>
      </c>
      <c r="I6" s="1" t="s">
        <v>204</v>
      </c>
      <c r="J6" s="1" t="s">
        <v>204</v>
      </c>
      <c r="K6" s="1" t="s">
        <v>204</v>
      </c>
    </row>
    <row r="7" spans="1:20" x14ac:dyDescent="0.2">
      <c r="A7" s="1" t="s">
        <v>790</v>
      </c>
      <c r="B7" s="1" t="s">
        <v>791</v>
      </c>
      <c r="C7" t="s">
        <v>773</v>
      </c>
      <c r="D7" s="1" t="s">
        <v>204</v>
      </c>
      <c r="E7" s="1" t="s">
        <v>204</v>
      </c>
      <c r="F7" s="1" t="s">
        <v>204</v>
      </c>
      <c r="G7" s="1" t="s">
        <v>204</v>
      </c>
      <c r="H7" s="1" t="s">
        <v>204</v>
      </c>
      <c r="I7" s="1" t="s">
        <v>204</v>
      </c>
      <c r="J7" s="1" t="s">
        <v>204</v>
      </c>
      <c r="K7" s="1" t="s">
        <v>204</v>
      </c>
    </row>
    <row r="8" spans="1:20" x14ac:dyDescent="0.2">
      <c r="A8" s="1" t="s">
        <v>792</v>
      </c>
      <c r="B8" s="1" t="s">
        <v>793</v>
      </c>
      <c r="C8" t="s">
        <v>773</v>
      </c>
      <c r="D8" s="1" t="s">
        <v>204</v>
      </c>
      <c r="E8" s="1" t="s">
        <v>204</v>
      </c>
      <c r="F8" s="1" t="s">
        <v>204</v>
      </c>
      <c r="G8" s="1" t="s">
        <v>204</v>
      </c>
      <c r="H8" s="1" t="s">
        <v>204</v>
      </c>
      <c r="I8" s="1" t="s">
        <v>204</v>
      </c>
      <c r="J8" s="1" t="s">
        <v>204</v>
      </c>
      <c r="K8" s="1" t="s">
        <v>204</v>
      </c>
    </row>
    <row r="9" spans="1:20" x14ac:dyDescent="0.2">
      <c r="A9" s="1" t="s">
        <v>794</v>
      </c>
      <c r="B9" s="1" t="s">
        <v>795</v>
      </c>
      <c r="C9" t="s">
        <v>773</v>
      </c>
      <c r="D9" s="1" t="s">
        <v>204</v>
      </c>
      <c r="E9" s="1" t="s">
        <v>204</v>
      </c>
      <c r="F9" s="1" t="s">
        <v>204</v>
      </c>
      <c r="G9" s="1" t="s">
        <v>204</v>
      </c>
      <c r="H9" s="1" t="s">
        <v>204</v>
      </c>
      <c r="I9" s="1" t="s">
        <v>204</v>
      </c>
      <c r="J9" s="1" t="s">
        <v>204</v>
      </c>
      <c r="K9" s="1" t="s">
        <v>204</v>
      </c>
    </row>
    <row r="10" spans="1:20" x14ac:dyDescent="0.2">
      <c r="A10" s="1" t="s">
        <v>796</v>
      </c>
      <c r="B10" s="1" t="s">
        <v>797</v>
      </c>
      <c r="C10" t="s">
        <v>773</v>
      </c>
      <c r="D10" s="1" t="s">
        <v>204</v>
      </c>
      <c r="E10" s="1" t="s">
        <v>204</v>
      </c>
      <c r="F10" s="1" t="s">
        <v>204</v>
      </c>
      <c r="G10" s="1" t="s">
        <v>204</v>
      </c>
      <c r="H10" s="1" t="s">
        <v>204</v>
      </c>
      <c r="I10" s="1" t="s">
        <v>204</v>
      </c>
      <c r="J10" s="1" t="s">
        <v>204</v>
      </c>
      <c r="K10" s="1" t="s">
        <v>204</v>
      </c>
    </row>
    <row r="11" spans="1:20" x14ac:dyDescent="0.2">
      <c r="A11" s="1" t="s">
        <v>798</v>
      </c>
      <c r="B11" s="1" t="s">
        <v>799</v>
      </c>
      <c r="C11" t="s">
        <v>773</v>
      </c>
      <c r="D11" s="1" t="s">
        <v>204</v>
      </c>
      <c r="E11" s="1" t="s">
        <v>204</v>
      </c>
      <c r="F11" s="1" t="s">
        <v>204</v>
      </c>
      <c r="G11" s="1" t="s">
        <v>204</v>
      </c>
      <c r="H11" s="1" t="s">
        <v>204</v>
      </c>
      <c r="I11" s="1" t="s">
        <v>204</v>
      </c>
      <c r="J11" s="1" t="s">
        <v>204</v>
      </c>
      <c r="K11" s="1" t="s">
        <v>204</v>
      </c>
    </row>
    <row r="12" spans="1:20" x14ac:dyDescent="0.2">
      <c r="A12" s="1" t="s">
        <v>800</v>
      </c>
      <c r="B12" s="1" t="s">
        <v>801</v>
      </c>
      <c r="C12" t="s">
        <v>773</v>
      </c>
      <c r="D12" s="1" t="s">
        <v>204</v>
      </c>
      <c r="E12" s="1" t="s">
        <v>204</v>
      </c>
      <c r="F12" s="1" t="s">
        <v>204</v>
      </c>
      <c r="G12" s="1" t="s">
        <v>204</v>
      </c>
      <c r="H12" s="1" t="s">
        <v>204</v>
      </c>
      <c r="I12" s="1" t="s">
        <v>204</v>
      </c>
      <c r="J12" s="1" t="s">
        <v>204</v>
      </c>
      <c r="K12" s="1" t="s">
        <v>204</v>
      </c>
    </row>
    <row r="13" spans="1:20" x14ac:dyDescent="0.2">
      <c r="A13" s="1" t="s">
        <v>771</v>
      </c>
      <c r="B13" s="1" t="s">
        <v>772</v>
      </c>
      <c r="C13" t="s">
        <v>773</v>
      </c>
      <c r="D13" s="1" t="s">
        <v>774</v>
      </c>
      <c r="E13" s="1" t="s">
        <v>204</v>
      </c>
      <c r="F13" s="1" t="s">
        <v>204</v>
      </c>
      <c r="G13" s="1" t="s">
        <v>772</v>
      </c>
      <c r="H13" s="1" t="s">
        <v>305</v>
      </c>
      <c r="I13" s="5">
        <v>2020</v>
      </c>
      <c r="J13" s="1" t="s">
        <v>26</v>
      </c>
      <c r="K13" s="1"/>
      <c r="L13" s="8">
        <v>0</v>
      </c>
      <c r="M13" s="8"/>
      <c r="N13" s="8">
        <v>-560000</v>
      </c>
      <c r="O13" t="s">
        <v>503</v>
      </c>
      <c r="P13">
        <v>190</v>
      </c>
      <c r="Q13" t="s">
        <v>590</v>
      </c>
      <c r="R13" t="s">
        <v>522</v>
      </c>
      <c r="S13" t="s">
        <v>462</v>
      </c>
      <c r="T13" t="s">
        <v>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6698-7A33-CD46-AE64-50CCBD124FC8}">
  <dimension ref="A1:T22"/>
  <sheetViews>
    <sheetView workbookViewId="0">
      <selection activeCell="B27" sqref="B27"/>
    </sheetView>
  </sheetViews>
  <sheetFormatPr baseColWidth="10" defaultColWidth="11" defaultRowHeight="15.75" customHeight="1" x14ac:dyDescent="0.2"/>
  <cols>
    <col min="1" max="1" width="13.6640625" customWidth="1"/>
    <col min="2" max="2" width="21" customWidth="1"/>
    <col min="3" max="3" width="25.5" customWidth="1"/>
    <col min="4" max="4" width="17.5" customWidth="1"/>
    <col min="6" max="6" width="11" style="5"/>
    <col min="7" max="7" width="17.83203125" customWidth="1"/>
    <col min="8" max="8" width="18.6640625" customWidth="1"/>
    <col min="10" max="10" width="15.5" customWidth="1"/>
    <col min="11" max="11" width="12.83203125" customWidth="1"/>
    <col min="12" max="12" width="18.5" customWidth="1"/>
    <col min="13" max="13" width="15.83203125" customWidth="1"/>
    <col min="14" max="14" width="17.5" customWidth="1"/>
    <col min="16" max="16" width="11" style="5"/>
    <col min="17" max="17" width="11.6640625" customWidth="1"/>
    <col min="18" max="18" width="15.6640625" customWidth="1"/>
    <col min="19" max="19" width="13.1640625" customWidth="1"/>
    <col min="16384" max="16384" width="11" bestFit="1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7" t="s">
        <v>11</v>
      </c>
      <c r="M1" s="17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16" x14ac:dyDescent="0.2">
      <c r="A2" t="s">
        <v>802</v>
      </c>
      <c r="B2" t="s">
        <v>803</v>
      </c>
      <c r="C2" t="s">
        <v>804</v>
      </c>
      <c r="D2" s="1" t="s">
        <v>813</v>
      </c>
      <c r="E2" t="s">
        <v>24</v>
      </c>
      <c r="F2" s="5">
        <v>20</v>
      </c>
      <c r="G2" t="s">
        <v>803</v>
      </c>
      <c r="H2" t="s">
        <v>804</v>
      </c>
      <c r="I2" s="5">
        <v>2022</v>
      </c>
      <c r="J2" s="3">
        <v>1</v>
      </c>
      <c r="K2" s="3">
        <v>2</v>
      </c>
      <c r="L2" s="14">
        <v>50158769</v>
      </c>
      <c r="M2" s="14">
        <v>44889248</v>
      </c>
      <c r="N2" s="14">
        <f>Table8[[#This Row],[Actual Money]]-Table8[[#This Row],[Projected Money]]</f>
        <v>-5269521</v>
      </c>
      <c r="O2" t="s">
        <v>36</v>
      </c>
      <c r="P2" s="5">
        <v>195</v>
      </c>
      <c r="Q2" t="s">
        <v>741</v>
      </c>
      <c r="R2" t="s">
        <v>306</v>
      </c>
      <c r="S2" t="s">
        <v>162</v>
      </c>
      <c r="T2" t="s">
        <v>31</v>
      </c>
    </row>
    <row r="3" spans="1:20" ht="16" x14ac:dyDescent="0.2">
      <c r="A3" t="s">
        <v>802</v>
      </c>
      <c r="B3" t="s">
        <v>803</v>
      </c>
      <c r="C3" t="s">
        <v>804</v>
      </c>
      <c r="D3" s="1" t="s">
        <v>810</v>
      </c>
      <c r="E3" t="s">
        <v>24</v>
      </c>
      <c r="F3" s="5">
        <v>19</v>
      </c>
      <c r="G3" t="s">
        <v>803</v>
      </c>
      <c r="H3" t="s">
        <v>804</v>
      </c>
      <c r="I3" s="5">
        <v>2021</v>
      </c>
      <c r="J3" s="3">
        <v>18</v>
      </c>
      <c r="K3" s="3">
        <v>5</v>
      </c>
      <c r="L3" s="14">
        <v>14047213</v>
      </c>
      <c r="M3" s="14">
        <v>29955705</v>
      </c>
      <c r="N3" s="14">
        <f>Table8[[#This Row],[Actual Money]]-Table8[[#This Row],[Projected Money]]</f>
        <v>15908492</v>
      </c>
      <c r="O3" t="s">
        <v>55</v>
      </c>
      <c r="P3" s="5">
        <v>205</v>
      </c>
      <c r="Q3" t="s">
        <v>63</v>
      </c>
      <c r="R3" t="s">
        <v>811</v>
      </c>
      <c r="S3" t="s">
        <v>162</v>
      </c>
      <c r="T3" t="s">
        <v>31</v>
      </c>
    </row>
    <row r="4" spans="1:20" ht="16" x14ac:dyDescent="0.2">
      <c r="A4" t="s">
        <v>829</v>
      </c>
      <c r="B4" t="s">
        <v>386</v>
      </c>
      <c r="C4" t="s">
        <v>804</v>
      </c>
      <c r="D4" s="1" t="s">
        <v>833</v>
      </c>
      <c r="E4" t="s">
        <v>39</v>
      </c>
      <c r="F4" s="5">
        <v>21</v>
      </c>
      <c r="G4" t="s">
        <v>386</v>
      </c>
      <c r="H4" t="s">
        <v>804</v>
      </c>
      <c r="I4" s="5">
        <v>2025</v>
      </c>
      <c r="J4" s="1" t="s">
        <v>26</v>
      </c>
      <c r="K4" s="3">
        <v>11</v>
      </c>
      <c r="L4" s="14">
        <v>0</v>
      </c>
      <c r="M4" s="14">
        <v>26345863</v>
      </c>
      <c r="N4" s="14">
        <f>Table8[[#This Row],[Actual Money]]-Table8[[#This Row],[Projected Money]]</f>
        <v>26345863</v>
      </c>
      <c r="O4" t="s">
        <v>49</v>
      </c>
      <c r="P4" s="5">
        <v>190</v>
      </c>
      <c r="Q4" t="s">
        <v>108</v>
      </c>
      <c r="R4" t="s">
        <v>834</v>
      </c>
      <c r="S4" t="s">
        <v>57</v>
      </c>
      <c r="T4" t="s">
        <v>31</v>
      </c>
    </row>
    <row r="5" spans="1:20" ht="16" x14ac:dyDescent="0.2">
      <c r="A5" t="s">
        <v>819</v>
      </c>
      <c r="B5" t="s">
        <v>820</v>
      </c>
      <c r="C5" t="s">
        <v>804</v>
      </c>
      <c r="D5" s="1" t="s">
        <v>821</v>
      </c>
      <c r="E5" t="s">
        <v>107</v>
      </c>
      <c r="F5" s="5">
        <v>21</v>
      </c>
      <c r="G5" t="s">
        <v>820</v>
      </c>
      <c r="H5" t="s">
        <v>804</v>
      </c>
      <c r="I5" s="5">
        <v>2022</v>
      </c>
      <c r="J5" s="1" t="s">
        <v>26</v>
      </c>
      <c r="K5" s="3">
        <v>12</v>
      </c>
      <c r="L5" s="14">
        <v>0</v>
      </c>
      <c r="M5" s="14">
        <v>20256917</v>
      </c>
      <c r="N5" s="14">
        <f>Table8[[#This Row],[Actual Money]]-Table8[[#This Row],[Projected Money]]</f>
        <v>20256917</v>
      </c>
      <c r="O5" t="s">
        <v>49</v>
      </c>
      <c r="P5" s="5">
        <v>190</v>
      </c>
      <c r="Q5" t="s">
        <v>108</v>
      </c>
      <c r="R5" t="s">
        <v>822</v>
      </c>
      <c r="S5" t="s">
        <v>145</v>
      </c>
      <c r="T5" t="s">
        <v>31</v>
      </c>
    </row>
    <row r="6" spans="1:20" ht="16" x14ac:dyDescent="0.2">
      <c r="A6" t="s">
        <v>802</v>
      </c>
      <c r="B6" t="s">
        <v>803</v>
      </c>
      <c r="C6" t="s">
        <v>804</v>
      </c>
      <c r="D6" s="1" t="s">
        <v>808</v>
      </c>
      <c r="E6" t="s">
        <v>39</v>
      </c>
      <c r="F6" s="5">
        <v>22</v>
      </c>
      <c r="G6" t="s">
        <v>803</v>
      </c>
      <c r="H6" t="s">
        <v>804</v>
      </c>
      <c r="I6" s="5">
        <v>2021</v>
      </c>
      <c r="J6" s="3">
        <v>36</v>
      </c>
      <c r="K6" s="3">
        <v>15</v>
      </c>
      <c r="L6" s="14">
        <v>560000</v>
      </c>
      <c r="M6" s="14">
        <v>16364528</v>
      </c>
      <c r="N6" s="14">
        <f>Table8[[#This Row],[Actual Money]]-Table8[[#This Row],[Projected Money]]</f>
        <v>15804528</v>
      </c>
      <c r="O6" t="s">
        <v>74</v>
      </c>
      <c r="P6" s="5">
        <v>220</v>
      </c>
      <c r="Q6" t="s">
        <v>74</v>
      </c>
      <c r="R6" t="s">
        <v>809</v>
      </c>
      <c r="S6" t="s">
        <v>234</v>
      </c>
      <c r="T6" t="s">
        <v>31</v>
      </c>
    </row>
    <row r="7" spans="1:20" ht="16" x14ac:dyDescent="0.2">
      <c r="A7" t="s">
        <v>819</v>
      </c>
      <c r="B7" t="s">
        <v>820</v>
      </c>
      <c r="C7" t="s">
        <v>804</v>
      </c>
      <c r="D7" s="1" t="s">
        <v>823</v>
      </c>
      <c r="E7" t="s">
        <v>35</v>
      </c>
      <c r="F7" s="5">
        <v>20</v>
      </c>
      <c r="G7" t="s">
        <v>820</v>
      </c>
      <c r="H7" t="s">
        <v>804</v>
      </c>
      <c r="I7" s="5">
        <v>2023</v>
      </c>
      <c r="J7" s="1" t="s">
        <v>26</v>
      </c>
      <c r="K7" s="3">
        <v>19</v>
      </c>
      <c r="L7" s="14">
        <v>0</v>
      </c>
      <c r="M7" s="14">
        <v>16239819</v>
      </c>
      <c r="N7" s="14">
        <f>Table8[[#This Row],[Actual Money]]-Table8[[#This Row],[Projected Money]]</f>
        <v>16239819</v>
      </c>
      <c r="O7" t="s">
        <v>63</v>
      </c>
      <c r="P7" s="5">
        <v>200</v>
      </c>
      <c r="Q7" t="s">
        <v>63</v>
      </c>
      <c r="R7" t="s">
        <v>824</v>
      </c>
      <c r="S7" t="s">
        <v>242</v>
      </c>
      <c r="T7" t="s">
        <v>31</v>
      </c>
    </row>
    <row r="8" spans="1:20" ht="16" x14ac:dyDescent="0.2">
      <c r="A8" t="s">
        <v>802</v>
      </c>
      <c r="B8" t="s">
        <v>803</v>
      </c>
      <c r="C8" t="s">
        <v>804</v>
      </c>
      <c r="D8" s="1" t="s">
        <v>814</v>
      </c>
      <c r="E8" t="s">
        <v>107</v>
      </c>
      <c r="F8" s="5">
        <v>21</v>
      </c>
      <c r="G8" t="s">
        <v>803</v>
      </c>
      <c r="H8" t="s">
        <v>804</v>
      </c>
      <c r="I8" s="5">
        <v>2023</v>
      </c>
      <c r="J8" s="3">
        <v>34</v>
      </c>
      <c r="K8" s="3">
        <v>29</v>
      </c>
      <c r="L8" s="14">
        <v>560000</v>
      </c>
      <c r="M8" s="14">
        <v>12484731</v>
      </c>
      <c r="N8" s="14">
        <f>Table8[[#This Row],[Actual Money]]-Table8[[#This Row],[Projected Money]]</f>
        <v>11924731</v>
      </c>
      <c r="O8" t="s">
        <v>74</v>
      </c>
      <c r="P8" s="5">
        <v>205</v>
      </c>
      <c r="Q8" t="s">
        <v>40</v>
      </c>
      <c r="R8" t="s">
        <v>545</v>
      </c>
      <c r="S8" t="s">
        <v>784</v>
      </c>
      <c r="T8" t="s">
        <v>31</v>
      </c>
    </row>
    <row r="9" spans="1:20" ht="16" x14ac:dyDescent="0.2">
      <c r="A9" s="43" t="s">
        <v>802</v>
      </c>
      <c r="B9" s="43" t="s">
        <v>803</v>
      </c>
      <c r="C9" s="43" t="s">
        <v>804</v>
      </c>
      <c r="D9" s="49" t="s">
        <v>812</v>
      </c>
      <c r="E9" s="43" t="s">
        <v>39</v>
      </c>
      <c r="F9" s="44">
        <v>22</v>
      </c>
      <c r="G9" s="43" t="s">
        <v>803</v>
      </c>
      <c r="H9" s="43" t="s">
        <v>804</v>
      </c>
      <c r="I9" s="44">
        <v>2022</v>
      </c>
      <c r="J9" s="50">
        <v>55</v>
      </c>
      <c r="K9" s="50">
        <v>31</v>
      </c>
      <c r="L9" s="45">
        <v>560000</v>
      </c>
      <c r="M9" s="45">
        <v>6395715</v>
      </c>
      <c r="N9" s="45">
        <f>Table8[[#This Row],[Actual Money]]-Table8[[#This Row],[Projected Money]]</f>
        <v>5835715</v>
      </c>
      <c r="O9" s="43" t="s">
        <v>63</v>
      </c>
      <c r="P9" s="44">
        <v>193</v>
      </c>
      <c r="Q9" s="43" t="s">
        <v>63</v>
      </c>
      <c r="R9" s="43" t="s">
        <v>707</v>
      </c>
      <c r="S9" s="43" t="s">
        <v>184</v>
      </c>
      <c r="T9" s="43" t="s">
        <v>185</v>
      </c>
    </row>
    <row r="10" spans="1:20" s="43" customFormat="1" ht="16" x14ac:dyDescent="0.2">
      <c r="A10" s="43" t="s">
        <v>825</v>
      </c>
      <c r="B10" s="43" t="s">
        <v>826</v>
      </c>
      <c r="C10" s="43" t="s">
        <v>804</v>
      </c>
      <c r="D10" s="49" t="s">
        <v>827</v>
      </c>
      <c r="E10" s="43" t="s">
        <v>39</v>
      </c>
      <c r="F10" s="44">
        <v>22</v>
      </c>
      <c r="G10" s="43" t="s">
        <v>826</v>
      </c>
      <c r="H10" s="43" t="s">
        <v>804</v>
      </c>
      <c r="I10" s="44">
        <v>2024</v>
      </c>
      <c r="J10" s="49" t="s">
        <v>26</v>
      </c>
      <c r="K10" s="50">
        <v>31</v>
      </c>
      <c r="L10" s="45">
        <v>0</v>
      </c>
      <c r="M10" s="45">
        <v>3817642</v>
      </c>
      <c r="N10" s="45">
        <f>Table8[[#This Row],[Actual Money]]-Table8[[#This Row],[Projected Money]]</f>
        <v>3817642</v>
      </c>
      <c r="O10" s="43" t="s">
        <v>27</v>
      </c>
      <c r="P10" s="44">
        <v>225</v>
      </c>
      <c r="Q10" s="43" t="s">
        <v>108</v>
      </c>
      <c r="R10" s="43" t="s">
        <v>828</v>
      </c>
      <c r="S10" s="43" t="s">
        <v>33</v>
      </c>
      <c r="T10" s="43" t="s">
        <v>31</v>
      </c>
    </row>
    <row r="11" spans="1:20" ht="16" x14ac:dyDescent="0.2">
      <c r="A11" s="43" t="s">
        <v>829</v>
      </c>
      <c r="B11" s="43" t="s">
        <v>386</v>
      </c>
      <c r="C11" s="43" t="s">
        <v>804</v>
      </c>
      <c r="D11" s="49" t="s">
        <v>830</v>
      </c>
      <c r="E11" s="43" t="s">
        <v>107</v>
      </c>
      <c r="F11" s="44">
        <v>20</v>
      </c>
      <c r="G11" s="43" t="s">
        <v>831</v>
      </c>
      <c r="H11" s="43" t="s">
        <v>832</v>
      </c>
      <c r="I11" s="44">
        <v>2024</v>
      </c>
      <c r="J11" s="49" t="s">
        <v>26</v>
      </c>
      <c r="K11" s="50">
        <v>39</v>
      </c>
      <c r="L11" s="45">
        <v>0</v>
      </c>
      <c r="M11" s="45">
        <v>3412530</v>
      </c>
      <c r="N11" s="45">
        <f>Table8[[#This Row],[Actual Money]]-Table8[[#This Row],[Projected Money]]</f>
        <v>3412530</v>
      </c>
      <c r="O11" s="43" t="s">
        <v>27</v>
      </c>
      <c r="P11" s="44">
        <v>205</v>
      </c>
      <c r="Q11" s="43" t="s">
        <v>74</v>
      </c>
      <c r="R11" s="43" t="s">
        <v>435</v>
      </c>
      <c r="S11" s="43" t="s">
        <v>57</v>
      </c>
      <c r="T11" s="43" t="s">
        <v>31</v>
      </c>
    </row>
    <row r="12" spans="1:20" s="43" customFormat="1" ht="16" x14ac:dyDescent="0.2">
      <c r="A12" t="s">
        <v>802</v>
      </c>
      <c r="B12" t="s">
        <v>803</v>
      </c>
      <c r="C12" t="s">
        <v>804</v>
      </c>
      <c r="D12" s="1" t="s">
        <v>805</v>
      </c>
      <c r="E12" t="s">
        <v>35</v>
      </c>
      <c r="F12" s="5">
        <v>21</v>
      </c>
      <c r="G12" t="s">
        <v>803</v>
      </c>
      <c r="H12" t="s">
        <v>804</v>
      </c>
      <c r="I12" s="5">
        <v>2021</v>
      </c>
      <c r="J12" s="3">
        <v>41</v>
      </c>
      <c r="K12" s="3">
        <v>50</v>
      </c>
      <c r="L12" s="14">
        <v>560000</v>
      </c>
      <c r="M12" s="14">
        <v>3011420</v>
      </c>
      <c r="N12" s="14">
        <f>Table8[[#This Row],[Actual Money]]-Table8[[#This Row],[Projected Money]]</f>
        <v>2451420</v>
      </c>
      <c r="O12" t="s">
        <v>59</v>
      </c>
      <c r="P12" s="5">
        <v>235</v>
      </c>
      <c r="Q12" t="s">
        <v>40</v>
      </c>
      <c r="R12" t="s">
        <v>806</v>
      </c>
      <c r="S12"/>
      <c r="T12" t="s">
        <v>807</v>
      </c>
    </row>
    <row r="13" spans="1:20" s="43" customFormat="1" ht="16" x14ac:dyDescent="0.2">
      <c r="A13" s="43" t="s">
        <v>802</v>
      </c>
      <c r="B13" s="43" t="s">
        <v>803</v>
      </c>
      <c r="C13" s="43" t="s">
        <v>804</v>
      </c>
      <c r="D13" s="49" t="s">
        <v>816</v>
      </c>
      <c r="E13" s="43" t="s">
        <v>817</v>
      </c>
      <c r="F13" s="44">
        <v>23</v>
      </c>
      <c r="G13" s="43" t="s">
        <v>803</v>
      </c>
      <c r="H13" s="43" t="s">
        <v>804</v>
      </c>
      <c r="I13" s="44">
        <v>2024</v>
      </c>
      <c r="J13" s="50" t="s">
        <v>26</v>
      </c>
      <c r="K13" s="50">
        <v>54</v>
      </c>
      <c r="L13" s="45">
        <v>0</v>
      </c>
      <c r="M13" s="45">
        <v>560000</v>
      </c>
      <c r="N13" s="45">
        <f>Table8[[#This Row],[Actual Money]]-Table8[[#This Row],[Projected Money]]</f>
        <v>560000</v>
      </c>
      <c r="O13" s="43" t="s">
        <v>27</v>
      </c>
      <c r="P13" s="44">
        <v>225</v>
      </c>
      <c r="Q13" s="43" t="s">
        <v>36</v>
      </c>
      <c r="R13" s="43" t="s">
        <v>818</v>
      </c>
      <c r="S13" s="43" t="s">
        <v>234</v>
      </c>
      <c r="T13" s="43" t="s">
        <v>31</v>
      </c>
    </row>
    <row r="14" spans="1:20" s="43" customFormat="1" ht="16" x14ac:dyDescent="0.2">
      <c r="A14" s="1" t="s">
        <v>835</v>
      </c>
      <c r="B14" t="s">
        <v>836</v>
      </c>
      <c r="C14" t="s">
        <v>804</v>
      </c>
      <c r="D14" s="1" t="s">
        <v>204</v>
      </c>
      <c r="E14" t="s">
        <v>204</v>
      </c>
      <c r="F14" s="5" t="s">
        <v>204</v>
      </c>
      <c r="G14" t="s">
        <v>204</v>
      </c>
      <c r="H14" t="s">
        <v>204</v>
      </c>
      <c r="I14" t="s">
        <v>204</v>
      </c>
      <c r="J14" s="1" t="s">
        <v>204</v>
      </c>
      <c r="K14" t="s">
        <v>204</v>
      </c>
      <c r="L14"/>
      <c r="M14"/>
      <c r="N14"/>
      <c r="O14"/>
      <c r="P14" s="5"/>
      <c r="Q14"/>
      <c r="R14"/>
      <c r="S14"/>
      <c r="T14"/>
    </row>
    <row r="15" spans="1:20" ht="16" x14ac:dyDescent="0.2">
      <c r="A15" s="1" t="s">
        <v>837</v>
      </c>
      <c r="B15" t="s">
        <v>838</v>
      </c>
      <c r="C15" t="s">
        <v>804</v>
      </c>
      <c r="D15" s="1" t="s">
        <v>204</v>
      </c>
      <c r="E15" t="s">
        <v>204</v>
      </c>
      <c r="F15" s="5" t="s">
        <v>204</v>
      </c>
      <c r="G15" t="s">
        <v>204</v>
      </c>
      <c r="H15" t="s">
        <v>204</v>
      </c>
      <c r="I15" t="s">
        <v>204</v>
      </c>
      <c r="J15" s="1" t="s">
        <v>204</v>
      </c>
      <c r="K15" t="s">
        <v>204</v>
      </c>
    </row>
    <row r="16" spans="1:20" ht="16" x14ac:dyDescent="0.2">
      <c r="A16" s="1" t="s">
        <v>839</v>
      </c>
      <c r="B16" t="s">
        <v>840</v>
      </c>
      <c r="C16" t="s">
        <v>804</v>
      </c>
      <c r="D16" s="1" t="s">
        <v>204</v>
      </c>
      <c r="E16" t="s">
        <v>204</v>
      </c>
      <c r="F16" s="5" t="s">
        <v>204</v>
      </c>
      <c r="G16" t="s">
        <v>204</v>
      </c>
      <c r="H16" t="s">
        <v>204</v>
      </c>
      <c r="I16" t="s">
        <v>204</v>
      </c>
      <c r="J16" s="1" t="s">
        <v>204</v>
      </c>
      <c r="K16" t="s">
        <v>204</v>
      </c>
    </row>
    <row r="17" spans="1:20" ht="16" x14ac:dyDescent="0.2">
      <c r="A17" s="1" t="s">
        <v>841</v>
      </c>
      <c r="B17" t="s">
        <v>842</v>
      </c>
      <c r="C17" t="s">
        <v>804</v>
      </c>
      <c r="D17" s="1" t="s">
        <v>204</v>
      </c>
      <c r="E17" t="s">
        <v>204</v>
      </c>
      <c r="F17" s="5" t="s">
        <v>204</v>
      </c>
      <c r="G17" t="s">
        <v>204</v>
      </c>
      <c r="H17" t="s">
        <v>204</v>
      </c>
      <c r="I17" t="s">
        <v>204</v>
      </c>
      <c r="J17" s="1" t="s">
        <v>204</v>
      </c>
      <c r="K17" t="s">
        <v>204</v>
      </c>
    </row>
    <row r="18" spans="1:20" ht="16" x14ac:dyDescent="0.2">
      <c r="A18" s="1" t="s">
        <v>843</v>
      </c>
      <c r="B18" t="s">
        <v>844</v>
      </c>
      <c r="C18" t="s">
        <v>804</v>
      </c>
      <c r="D18" s="1" t="s">
        <v>204</v>
      </c>
      <c r="E18" t="s">
        <v>204</v>
      </c>
      <c r="F18" s="5" t="s">
        <v>204</v>
      </c>
      <c r="G18" t="s">
        <v>204</v>
      </c>
      <c r="H18" t="s">
        <v>204</v>
      </c>
      <c r="I18" t="s">
        <v>204</v>
      </c>
      <c r="J18" s="1" t="s">
        <v>204</v>
      </c>
      <c r="K18" t="s">
        <v>204</v>
      </c>
    </row>
    <row r="19" spans="1:20" ht="16" x14ac:dyDescent="0.2">
      <c r="A19" s="1" t="s">
        <v>845</v>
      </c>
      <c r="B19" t="s">
        <v>846</v>
      </c>
      <c r="C19" t="s">
        <v>804</v>
      </c>
      <c r="D19" s="1" t="s">
        <v>204</v>
      </c>
      <c r="E19" t="s">
        <v>204</v>
      </c>
      <c r="F19" s="5" t="s">
        <v>204</v>
      </c>
      <c r="G19" t="s">
        <v>204</v>
      </c>
      <c r="H19" t="s">
        <v>204</v>
      </c>
      <c r="I19" t="s">
        <v>204</v>
      </c>
      <c r="J19" s="1" t="s">
        <v>204</v>
      </c>
      <c r="K19" t="s">
        <v>204</v>
      </c>
    </row>
    <row r="20" spans="1:20" ht="16" x14ac:dyDescent="0.2">
      <c r="A20" s="1" t="s">
        <v>847</v>
      </c>
      <c r="B20" t="s">
        <v>848</v>
      </c>
      <c r="C20" t="s">
        <v>804</v>
      </c>
      <c r="D20" s="1" t="s">
        <v>204</v>
      </c>
      <c r="E20" t="s">
        <v>204</v>
      </c>
      <c r="F20" s="5" t="s">
        <v>204</v>
      </c>
      <c r="G20" t="s">
        <v>204</v>
      </c>
      <c r="H20" t="s">
        <v>204</v>
      </c>
      <c r="I20" t="s">
        <v>204</v>
      </c>
      <c r="J20" s="1" t="s">
        <v>204</v>
      </c>
      <c r="K20" t="s">
        <v>204</v>
      </c>
    </row>
    <row r="21" spans="1:20" ht="16" x14ac:dyDescent="0.2">
      <c r="A21" t="s">
        <v>802</v>
      </c>
      <c r="B21" t="s">
        <v>803</v>
      </c>
      <c r="C21" t="s">
        <v>804</v>
      </c>
      <c r="D21" s="1" t="s">
        <v>815</v>
      </c>
      <c r="E21" t="s">
        <v>39</v>
      </c>
      <c r="F21" s="5">
        <v>22</v>
      </c>
      <c r="G21" t="s">
        <v>803</v>
      </c>
      <c r="H21" t="s">
        <v>804</v>
      </c>
      <c r="I21" s="5">
        <v>2023</v>
      </c>
      <c r="J21" s="3">
        <v>45</v>
      </c>
      <c r="K21" s="3" t="s">
        <v>26</v>
      </c>
      <c r="L21" s="14">
        <v>560000</v>
      </c>
      <c r="M21" s="14">
        <v>0</v>
      </c>
      <c r="N21" s="14">
        <v>-560000</v>
      </c>
      <c r="O21" t="s">
        <v>28</v>
      </c>
      <c r="P21" s="5">
        <v>235</v>
      </c>
      <c r="Q21" t="s">
        <v>141</v>
      </c>
      <c r="R21" t="s">
        <v>187</v>
      </c>
      <c r="S21" t="s">
        <v>82</v>
      </c>
      <c r="T21" t="s">
        <v>31</v>
      </c>
    </row>
    <row r="22" spans="1:20" ht="16" x14ac:dyDescent="0.2">
      <c r="D22" s="1"/>
      <c r="I22" s="5"/>
      <c r="J22" s="3"/>
      <c r="K22" s="3"/>
      <c r="L22" s="14"/>
      <c r="M22" s="14"/>
      <c r="N22" s="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BA10-116E-C14A-A057-AC1E8EA66D5C}">
  <dimension ref="A1:T17"/>
  <sheetViews>
    <sheetView workbookViewId="0">
      <selection activeCell="J11" sqref="J11"/>
    </sheetView>
  </sheetViews>
  <sheetFormatPr baseColWidth="10" defaultColWidth="11" defaultRowHeight="16" x14ac:dyDescent="0.2"/>
  <cols>
    <col min="1" max="1" width="15.1640625" customWidth="1"/>
    <col min="2" max="3" width="25.5" customWidth="1"/>
    <col min="4" max="4" width="15" customWidth="1"/>
    <col min="7" max="7" width="17" customWidth="1"/>
    <col min="8" max="8" width="18.6640625" customWidth="1"/>
    <col min="10" max="10" width="15.5" customWidth="1"/>
    <col min="11" max="11" width="12.83203125" customWidth="1"/>
    <col min="12" max="12" width="18.5" customWidth="1"/>
    <col min="13" max="13" width="15.83203125" customWidth="1"/>
    <col min="14" max="14" width="17.1640625" customWidth="1"/>
    <col min="16" max="16" width="11" style="5"/>
    <col min="17" max="17" width="11.6640625" customWidth="1"/>
    <col min="18" max="18" width="12.1640625" customWidth="1"/>
    <col min="19" max="19" width="13.1640625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7" t="s">
        <v>11</v>
      </c>
      <c r="M1" s="17" t="s">
        <v>12</v>
      </c>
      <c r="N1" s="5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">
      <c r="A2" s="1" t="s">
        <v>874</v>
      </c>
      <c r="B2" s="1" t="s">
        <v>875</v>
      </c>
      <c r="C2" t="s">
        <v>876</v>
      </c>
      <c r="D2" t="s">
        <v>915</v>
      </c>
      <c r="E2" t="s">
        <v>35</v>
      </c>
      <c r="F2" s="5">
        <v>20</v>
      </c>
      <c r="G2" t="s">
        <v>878</v>
      </c>
      <c r="H2" t="s">
        <v>214</v>
      </c>
      <c r="I2" s="5">
        <v>2022</v>
      </c>
      <c r="J2" s="3">
        <v>27</v>
      </c>
      <c r="K2" s="3">
        <v>4</v>
      </c>
      <c r="L2" s="14">
        <v>11501537</v>
      </c>
      <c r="M2" s="14">
        <v>36371093</v>
      </c>
      <c r="N2" s="42">
        <f t="shared" ref="N2:N14" si="0">M2-L2</f>
        <v>24869556</v>
      </c>
      <c r="O2" t="s">
        <v>27</v>
      </c>
      <c r="P2" s="5">
        <v>225</v>
      </c>
      <c r="Q2" t="s">
        <v>59</v>
      </c>
      <c r="R2" t="s">
        <v>909</v>
      </c>
      <c r="S2" t="s">
        <v>238</v>
      </c>
      <c r="T2" t="s">
        <v>31</v>
      </c>
    </row>
    <row r="3" spans="1:20" x14ac:dyDescent="0.2">
      <c r="A3" s="1" t="s">
        <v>868</v>
      </c>
      <c r="B3" s="1" t="s">
        <v>869</v>
      </c>
      <c r="C3" t="s">
        <v>870</v>
      </c>
      <c r="D3" t="s">
        <v>912</v>
      </c>
      <c r="E3" t="s">
        <v>107</v>
      </c>
      <c r="F3" s="5">
        <v>22</v>
      </c>
      <c r="G3" t="s">
        <v>872</v>
      </c>
      <c r="H3" t="s">
        <v>913</v>
      </c>
      <c r="I3" s="5">
        <v>2020</v>
      </c>
      <c r="J3" s="3">
        <v>24</v>
      </c>
      <c r="K3" s="3">
        <v>8</v>
      </c>
      <c r="L3" s="14">
        <v>11129417</v>
      </c>
      <c r="M3" s="14">
        <v>22118492</v>
      </c>
      <c r="N3" s="42">
        <f t="shared" si="0"/>
        <v>10989075</v>
      </c>
      <c r="O3" t="s">
        <v>40</v>
      </c>
      <c r="P3" s="5">
        <v>220</v>
      </c>
      <c r="Q3" t="s">
        <v>108</v>
      </c>
      <c r="R3" t="s">
        <v>914</v>
      </c>
      <c r="S3" t="s">
        <v>113</v>
      </c>
      <c r="T3" t="s">
        <v>31</v>
      </c>
    </row>
    <row r="4" spans="1:20" x14ac:dyDescent="0.2">
      <c r="A4" s="1" t="s">
        <v>868</v>
      </c>
      <c r="B4" s="1" t="s">
        <v>869</v>
      </c>
      <c r="C4" t="s">
        <v>870</v>
      </c>
      <c r="D4" t="s">
        <v>910</v>
      </c>
      <c r="E4" t="s">
        <v>107</v>
      </c>
      <c r="F4" s="5">
        <v>21</v>
      </c>
      <c r="G4" t="s">
        <v>872</v>
      </c>
      <c r="H4" t="s">
        <v>870</v>
      </c>
      <c r="I4" s="5">
        <v>2024</v>
      </c>
      <c r="J4" s="3" t="s">
        <v>26</v>
      </c>
      <c r="K4" s="3">
        <v>22</v>
      </c>
      <c r="L4" s="14">
        <v>0</v>
      </c>
      <c r="M4" s="14">
        <v>15248165</v>
      </c>
      <c r="N4" s="42">
        <f t="shared" si="0"/>
        <v>15248165</v>
      </c>
      <c r="O4" t="s">
        <v>28</v>
      </c>
      <c r="P4" s="5">
        <v>235</v>
      </c>
      <c r="Q4" t="s">
        <v>141</v>
      </c>
      <c r="R4" t="s">
        <v>911</v>
      </c>
      <c r="S4" t="s">
        <v>145</v>
      </c>
      <c r="T4" t="s">
        <v>31</v>
      </c>
    </row>
    <row r="5" spans="1:20" s="41" customFormat="1" x14ac:dyDescent="0.2">
      <c r="A5" s="1" t="s">
        <v>874</v>
      </c>
      <c r="B5" s="1" t="s">
        <v>875</v>
      </c>
      <c r="C5" t="s">
        <v>876</v>
      </c>
      <c r="D5" t="s">
        <v>908</v>
      </c>
      <c r="E5" t="s">
        <v>107</v>
      </c>
      <c r="F5" s="5">
        <v>22</v>
      </c>
      <c r="G5" t="s">
        <v>878</v>
      </c>
      <c r="H5" t="s">
        <v>214</v>
      </c>
      <c r="I5" s="5">
        <v>2023</v>
      </c>
      <c r="J5" s="3">
        <v>47</v>
      </c>
      <c r="K5" s="3">
        <v>23</v>
      </c>
      <c r="L5" s="14">
        <v>560000</v>
      </c>
      <c r="M5" s="14">
        <v>14284524</v>
      </c>
      <c r="N5" s="42">
        <f t="shared" si="0"/>
        <v>13724524</v>
      </c>
      <c r="O5" t="s">
        <v>40</v>
      </c>
      <c r="P5" s="5">
        <v>215</v>
      </c>
      <c r="Q5" t="s">
        <v>36</v>
      </c>
      <c r="R5" t="s">
        <v>909</v>
      </c>
      <c r="S5" t="s">
        <v>238</v>
      </c>
      <c r="T5" t="s">
        <v>31</v>
      </c>
    </row>
    <row r="6" spans="1:20" x14ac:dyDescent="0.2">
      <c r="A6" s="1" t="s">
        <v>898</v>
      </c>
      <c r="B6" s="1" t="s">
        <v>899</v>
      </c>
      <c r="C6" t="s">
        <v>900</v>
      </c>
      <c r="D6" t="s">
        <v>901</v>
      </c>
      <c r="E6" t="s">
        <v>39</v>
      </c>
      <c r="F6" s="5">
        <v>21</v>
      </c>
      <c r="G6" t="s">
        <v>902</v>
      </c>
      <c r="H6" t="s">
        <v>900</v>
      </c>
      <c r="I6" s="5">
        <v>2023</v>
      </c>
      <c r="J6" s="3" t="s">
        <v>26</v>
      </c>
      <c r="K6" s="3">
        <v>26</v>
      </c>
      <c r="L6" s="14">
        <v>0</v>
      </c>
      <c r="M6" s="14">
        <v>13023429</v>
      </c>
      <c r="N6" s="42">
        <f t="shared" si="0"/>
        <v>13023429</v>
      </c>
      <c r="O6" t="s">
        <v>49</v>
      </c>
      <c r="P6" s="5">
        <v>195</v>
      </c>
      <c r="Q6" t="s">
        <v>27</v>
      </c>
      <c r="R6" t="s">
        <v>418</v>
      </c>
      <c r="S6" t="s">
        <v>47</v>
      </c>
      <c r="T6" t="s">
        <v>31</v>
      </c>
    </row>
    <row r="7" spans="1:20" x14ac:dyDescent="0.2">
      <c r="A7" s="1" t="s">
        <v>903</v>
      </c>
      <c r="B7" s="1" t="s">
        <v>904</v>
      </c>
      <c r="C7" t="s">
        <v>905</v>
      </c>
      <c r="D7" t="s">
        <v>906</v>
      </c>
      <c r="E7" t="s">
        <v>39</v>
      </c>
      <c r="F7" s="5">
        <v>22</v>
      </c>
      <c r="G7" t="s">
        <v>907</v>
      </c>
      <c r="H7" t="s">
        <v>832</v>
      </c>
      <c r="I7" s="5">
        <v>2024</v>
      </c>
      <c r="J7" s="1" t="s">
        <v>26</v>
      </c>
      <c r="K7" s="3">
        <v>26</v>
      </c>
      <c r="L7" s="14">
        <v>0</v>
      </c>
      <c r="M7" s="14">
        <v>13460726</v>
      </c>
      <c r="N7" s="42">
        <f t="shared" si="0"/>
        <v>13460726</v>
      </c>
      <c r="O7" t="s">
        <v>49</v>
      </c>
      <c r="P7" s="5">
        <v>235</v>
      </c>
      <c r="Q7" t="s">
        <v>59</v>
      </c>
      <c r="R7" t="s">
        <v>99</v>
      </c>
      <c r="S7" t="s">
        <v>97</v>
      </c>
      <c r="T7" t="s">
        <v>31</v>
      </c>
    </row>
    <row r="8" spans="1:20" s="41" customFormat="1" x14ac:dyDescent="0.2">
      <c r="A8" s="63" t="s">
        <v>894</v>
      </c>
      <c r="B8" s="63" t="s">
        <v>895</v>
      </c>
      <c r="C8" s="41" t="s">
        <v>882</v>
      </c>
      <c r="D8" s="63" t="s">
        <v>896</v>
      </c>
      <c r="E8" s="41" t="s">
        <v>107</v>
      </c>
      <c r="F8" s="57">
        <v>21</v>
      </c>
      <c r="G8" s="41" t="s">
        <v>897</v>
      </c>
      <c r="H8" s="41" t="s">
        <v>882</v>
      </c>
      <c r="I8" s="57">
        <v>2021</v>
      </c>
      <c r="J8" s="64">
        <v>48</v>
      </c>
      <c r="K8" s="64">
        <v>33</v>
      </c>
      <c r="L8" s="60">
        <v>560000</v>
      </c>
      <c r="M8" s="60">
        <v>2065821</v>
      </c>
      <c r="N8" s="65">
        <f t="shared" si="0"/>
        <v>1505821</v>
      </c>
      <c r="O8" s="41" t="s">
        <v>55</v>
      </c>
      <c r="P8" s="57">
        <v>187</v>
      </c>
      <c r="Q8" s="41" t="s">
        <v>27</v>
      </c>
      <c r="R8" s="41" t="s">
        <v>361</v>
      </c>
      <c r="S8" s="41" t="s">
        <v>33</v>
      </c>
      <c r="T8" s="41" t="s">
        <v>31</v>
      </c>
    </row>
    <row r="9" spans="1:20" x14ac:dyDescent="0.2">
      <c r="A9" s="1" t="s">
        <v>874</v>
      </c>
      <c r="B9" s="1" t="s">
        <v>875</v>
      </c>
      <c r="C9" t="s">
        <v>876</v>
      </c>
      <c r="D9" t="s">
        <v>892</v>
      </c>
      <c r="E9" t="s">
        <v>107</v>
      </c>
      <c r="F9" s="5">
        <v>21</v>
      </c>
      <c r="G9" t="s">
        <v>878</v>
      </c>
      <c r="H9" t="s">
        <v>214</v>
      </c>
      <c r="I9" s="5">
        <v>2021</v>
      </c>
      <c r="J9" s="3" t="s">
        <v>26</v>
      </c>
      <c r="K9" s="3">
        <v>41</v>
      </c>
      <c r="L9" s="14">
        <v>0</v>
      </c>
      <c r="M9" s="14">
        <v>560000</v>
      </c>
      <c r="N9" s="42">
        <f t="shared" si="0"/>
        <v>560000</v>
      </c>
      <c r="O9" t="s">
        <v>74</v>
      </c>
      <c r="P9" s="5">
        <v>205</v>
      </c>
      <c r="Q9" t="s">
        <v>59</v>
      </c>
      <c r="R9" t="s">
        <v>893</v>
      </c>
      <c r="S9" t="s">
        <v>238</v>
      </c>
      <c r="T9" t="s">
        <v>31</v>
      </c>
    </row>
    <row r="10" spans="1:20" s="41" customFormat="1" x14ac:dyDescent="0.2">
      <c r="A10" s="63" t="s">
        <v>887</v>
      </c>
      <c r="B10" s="63" t="s">
        <v>888</v>
      </c>
      <c r="C10" s="41" t="s">
        <v>882</v>
      </c>
      <c r="D10" s="41" t="s">
        <v>889</v>
      </c>
      <c r="E10" s="41" t="s">
        <v>35</v>
      </c>
      <c r="F10" s="57">
        <v>19</v>
      </c>
      <c r="G10" s="41" t="s">
        <v>890</v>
      </c>
      <c r="H10" s="41" t="s">
        <v>882</v>
      </c>
      <c r="I10" s="57">
        <v>2023</v>
      </c>
      <c r="J10" s="63" t="s">
        <v>26</v>
      </c>
      <c r="K10" s="64">
        <v>44</v>
      </c>
      <c r="L10" s="60">
        <v>0</v>
      </c>
      <c r="M10" s="60">
        <v>3337645</v>
      </c>
      <c r="N10" s="65">
        <f t="shared" si="0"/>
        <v>3337645</v>
      </c>
      <c r="O10" s="41" t="s">
        <v>45</v>
      </c>
      <c r="P10" s="57">
        <v>180</v>
      </c>
      <c r="Q10" s="41" t="s">
        <v>28</v>
      </c>
      <c r="R10" s="41" t="s">
        <v>891</v>
      </c>
      <c r="S10" s="41" t="s">
        <v>159</v>
      </c>
      <c r="T10" s="41" t="s">
        <v>31</v>
      </c>
    </row>
    <row r="11" spans="1:20" x14ac:dyDescent="0.2">
      <c r="A11" s="1" t="s">
        <v>880</v>
      </c>
      <c r="B11" s="1" t="s">
        <v>881</v>
      </c>
      <c r="C11" t="s">
        <v>882</v>
      </c>
      <c r="D11" t="s">
        <v>883</v>
      </c>
      <c r="E11" t="s">
        <v>884</v>
      </c>
      <c r="F11" s="5">
        <v>19</v>
      </c>
      <c r="G11" t="s">
        <v>885</v>
      </c>
      <c r="H11" t="s">
        <v>882</v>
      </c>
      <c r="I11" s="5">
        <v>2023</v>
      </c>
      <c r="J11" s="3">
        <v>33</v>
      </c>
      <c r="K11" s="3">
        <v>49</v>
      </c>
      <c r="L11" s="14">
        <v>560000</v>
      </c>
      <c r="M11" s="14">
        <v>560000</v>
      </c>
      <c r="N11" s="42">
        <f t="shared" si="0"/>
        <v>0</v>
      </c>
      <c r="O11" t="s">
        <v>28</v>
      </c>
      <c r="P11" s="5">
        <v>190</v>
      </c>
      <c r="Q11" t="s">
        <v>40</v>
      </c>
      <c r="R11" t="s">
        <v>886</v>
      </c>
      <c r="S11" t="s">
        <v>159</v>
      </c>
      <c r="T11" t="s">
        <v>31</v>
      </c>
    </row>
    <row r="12" spans="1:20" x14ac:dyDescent="0.2">
      <c r="A12" s="63" t="s">
        <v>868</v>
      </c>
      <c r="B12" s="63" t="s">
        <v>869</v>
      </c>
      <c r="C12" s="41" t="s">
        <v>870</v>
      </c>
      <c r="D12" s="41" t="s">
        <v>871</v>
      </c>
      <c r="E12" s="41" t="s">
        <v>107</v>
      </c>
      <c r="F12" s="57">
        <v>23</v>
      </c>
      <c r="G12" s="41" t="s">
        <v>872</v>
      </c>
      <c r="H12" s="41" t="s">
        <v>870</v>
      </c>
      <c r="I12" s="57">
        <v>2023</v>
      </c>
      <c r="J12" s="64" t="s">
        <v>26</v>
      </c>
      <c r="K12" s="64">
        <v>52</v>
      </c>
      <c r="L12" s="60">
        <v>0</v>
      </c>
      <c r="M12" s="60">
        <v>1119563</v>
      </c>
      <c r="N12" s="65">
        <f t="shared" si="0"/>
        <v>1119563</v>
      </c>
      <c r="O12" s="41" t="s">
        <v>27</v>
      </c>
      <c r="P12" s="57">
        <v>220</v>
      </c>
      <c r="Q12" s="41" t="s">
        <v>40</v>
      </c>
      <c r="R12" s="41" t="s">
        <v>873</v>
      </c>
      <c r="S12" s="41"/>
      <c r="T12" s="41" t="s">
        <v>861</v>
      </c>
    </row>
    <row r="13" spans="1:20" x14ac:dyDescent="0.2">
      <c r="A13" s="1" t="s">
        <v>874</v>
      </c>
      <c r="B13" s="1" t="s">
        <v>875</v>
      </c>
      <c r="C13" t="s">
        <v>876</v>
      </c>
      <c r="D13" t="s">
        <v>877</v>
      </c>
      <c r="E13" t="s">
        <v>39</v>
      </c>
      <c r="F13" s="5">
        <v>22</v>
      </c>
      <c r="G13" t="s">
        <v>878</v>
      </c>
      <c r="H13" t="s">
        <v>214</v>
      </c>
      <c r="I13" s="5">
        <v>2021</v>
      </c>
      <c r="J13" s="3">
        <v>51</v>
      </c>
      <c r="K13" s="3">
        <v>52</v>
      </c>
      <c r="L13" s="14">
        <v>560000</v>
      </c>
      <c r="M13" s="14">
        <v>560000</v>
      </c>
      <c r="N13" s="42">
        <f t="shared" si="0"/>
        <v>0</v>
      </c>
      <c r="O13" t="s">
        <v>59</v>
      </c>
      <c r="P13" s="5">
        <v>245</v>
      </c>
      <c r="Q13" t="s">
        <v>108</v>
      </c>
      <c r="R13" t="s">
        <v>234</v>
      </c>
      <c r="S13" t="s">
        <v>879</v>
      </c>
      <c r="T13" t="s">
        <v>31</v>
      </c>
    </row>
    <row r="14" spans="1:20" x14ac:dyDescent="0.2">
      <c r="A14" s="1" t="s">
        <v>862</v>
      </c>
      <c r="B14" s="1" t="s">
        <v>863</v>
      </c>
      <c r="C14" t="s">
        <v>864</v>
      </c>
      <c r="D14" t="s">
        <v>865</v>
      </c>
      <c r="E14" t="s">
        <v>39</v>
      </c>
      <c r="F14" s="5">
        <v>23</v>
      </c>
      <c r="G14" t="s">
        <v>866</v>
      </c>
      <c r="H14" t="s">
        <v>864</v>
      </c>
      <c r="I14" s="5">
        <v>2023</v>
      </c>
      <c r="J14" s="1" t="s">
        <v>26</v>
      </c>
      <c r="K14" s="3">
        <v>54</v>
      </c>
      <c r="L14" s="14">
        <v>0</v>
      </c>
      <c r="M14" s="14">
        <v>560000</v>
      </c>
      <c r="N14" s="42">
        <f t="shared" si="0"/>
        <v>560000</v>
      </c>
      <c r="O14" t="s">
        <v>27</v>
      </c>
      <c r="P14" s="5">
        <v>220</v>
      </c>
      <c r="Q14" s="5" t="s">
        <v>36</v>
      </c>
      <c r="R14" s="5" t="s">
        <v>867</v>
      </c>
      <c r="S14" s="5" t="s">
        <v>97</v>
      </c>
      <c r="T14" t="s">
        <v>31</v>
      </c>
    </row>
    <row r="15" spans="1:20" x14ac:dyDescent="0.2">
      <c r="A15" s="1" t="s">
        <v>849</v>
      </c>
      <c r="B15" s="1" t="s">
        <v>850</v>
      </c>
      <c r="C15" t="s">
        <v>851</v>
      </c>
      <c r="D15" t="s">
        <v>852</v>
      </c>
      <c r="E15" t="s">
        <v>24</v>
      </c>
      <c r="F15" s="5">
        <v>19</v>
      </c>
      <c r="G15" t="s">
        <v>853</v>
      </c>
      <c r="H15" t="s">
        <v>851</v>
      </c>
      <c r="I15" s="5">
        <v>2022</v>
      </c>
      <c r="J15" s="3">
        <v>56</v>
      </c>
      <c r="K15" s="3" t="s">
        <v>26</v>
      </c>
      <c r="L15" s="14">
        <v>560000</v>
      </c>
      <c r="M15" s="14">
        <v>0</v>
      </c>
      <c r="N15" s="14">
        <v>-560000</v>
      </c>
      <c r="O15" t="s">
        <v>59</v>
      </c>
      <c r="P15" s="5">
        <v>232</v>
      </c>
      <c r="Q15" t="s">
        <v>108</v>
      </c>
      <c r="R15" t="s">
        <v>854</v>
      </c>
      <c r="T15" t="s">
        <v>175</v>
      </c>
    </row>
    <row r="16" spans="1:20" x14ac:dyDescent="0.2">
      <c r="A16" s="1" t="s">
        <v>855</v>
      </c>
      <c r="B16" s="1" t="s">
        <v>856</v>
      </c>
      <c r="C16" t="s">
        <v>857</v>
      </c>
      <c r="D16" t="s">
        <v>858</v>
      </c>
      <c r="E16" t="s">
        <v>107</v>
      </c>
      <c r="F16" s="5">
        <v>22</v>
      </c>
      <c r="G16" t="s">
        <v>859</v>
      </c>
      <c r="H16" t="s">
        <v>857</v>
      </c>
      <c r="I16" s="5">
        <v>2024</v>
      </c>
      <c r="J16" s="3">
        <v>52</v>
      </c>
      <c r="K16" t="s">
        <v>26</v>
      </c>
      <c r="L16" s="14">
        <v>560000</v>
      </c>
      <c r="M16" s="14">
        <v>560000</v>
      </c>
      <c r="N16" s="42">
        <f>M16-L16</f>
        <v>0</v>
      </c>
      <c r="O16" t="s">
        <v>55</v>
      </c>
      <c r="P16" s="5">
        <v>195</v>
      </c>
      <c r="Q16" t="s">
        <v>49</v>
      </c>
      <c r="R16" t="s">
        <v>860</v>
      </c>
      <c r="T16" t="s">
        <v>861</v>
      </c>
    </row>
    <row r="17" spans="12:13" x14ac:dyDescent="0.2">
      <c r="L17" s="14"/>
      <c r="M17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7B8D-0398-EC4B-8D5E-529E20511835}">
  <dimension ref="A1:T52"/>
  <sheetViews>
    <sheetView workbookViewId="0">
      <pane xSplit="4" topLeftCell="E1" activePane="topRight" state="frozen"/>
      <selection pane="topRight" activeCell="A21" sqref="A21"/>
    </sheetView>
  </sheetViews>
  <sheetFormatPr baseColWidth="10" defaultColWidth="11" defaultRowHeight="16" x14ac:dyDescent="0.2"/>
  <cols>
    <col min="1" max="1" width="17" customWidth="1"/>
    <col min="2" max="2" width="20.33203125" customWidth="1"/>
    <col min="3" max="3" width="25.5" customWidth="1"/>
    <col min="4" max="4" width="18" bestFit="1" customWidth="1"/>
    <col min="7" max="7" width="16.5" customWidth="1"/>
    <col min="8" max="8" width="18.6640625" customWidth="1"/>
    <col min="10" max="10" width="15.5" customWidth="1"/>
    <col min="11" max="11" width="12.83203125" customWidth="1"/>
    <col min="12" max="13" width="18.5" customWidth="1"/>
    <col min="14" max="14" width="16.33203125" customWidth="1"/>
    <col min="16" max="16" width="11" style="5"/>
    <col min="17" max="17" width="11.6640625" customWidth="1"/>
    <col min="18" max="18" width="23.1640625" bestFit="1" customWidth="1"/>
    <col min="19" max="19" width="13.1640625" customWidth="1"/>
  </cols>
  <sheetData>
    <row r="1" spans="1:20" ht="19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">
      <c r="A2" t="s">
        <v>916</v>
      </c>
      <c r="B2" t="s">
        <v>204</v>
      </c>
      <c r="C2" t="s">
        <v>204</v>
      </c>
      <c r="D2" s="1" t="s">
        <v>917</v>
      </c>
      <c r="E2" t="s">
        <v>817</v>
      </c>
      <c r="F2">
        <v>22</v>
      </c>
      <c r="G2" t="s">
        <v>918</v>
      </c>
      <c r="H2" t="s">
        <v>919</v>
      </c>
      <c r="I2" s="9">
        <v>2023</v>
      </c>
      <c r="J2" s="5">
        <v>54</v>
      </c>
      <c r="K2" t="s">
        <v>26</v>
      </c>
      <c r="L2" s="10">
        <v>560000</v>
      </c>
      <c r="M2" s="10">
        <v>0</v>
      </c>
      <c r="N2" s="10">
        <f t="shared" ref="N2:N21" si="0">M2-L2</f>
        <v>-560000</v>
      </c>
      <c r="O2" t="s">
        <v>63</v>
      </c>
      <c r="P2" s="5">
        <v>190</v>
      </c>
      <c r="Q2" t="s">
        <v>28</v>
      </c>
      <c r="R2" t="s">
        <v>920</v>
      </c>
      <c r="S2" t="s">
        <v>61</v>
      </c>
      <c r="T2" t="s">
        <v>31</v>
      </c>
    </row>
    <row r="3" spans="1:20" x14ac:dyDescent="0.2">
      <c r="A3" t="s">
        <v>921</v>
      </c>
      <c r="B3" t="s">
        <v>204</v>
      </c>
      <c r="C3" t="s">
        <v>204</v>
      </c>
      <c r="D3" s="1" t="s">
        <v>922</v>
      </c>
      <c r="E3" t="s">
        <v>338</v>
      </c>
      <c r="F3">
        <v>19</v>
      </c>
      <c r="G3" t="s">
        <v>344</v>
      </c>
      <c r="H3" t="s">
        <v>345</v>
      </c>
      <c r="I3" s="9">
        <v>2021</v>
      </c>
      <c r="J3" s="5">
        <v>24</v>
      </c>
      <c r="K3" t="s">
        <v>26</v>
      </c>
      <c r="L3" s="10">
        <v>5930500</v>
      </c>
      <c r="M3" s="10">
        <v>0</v>
      </c>
      <c r="N3" s="10">
        <f t="shared" si="0"/>
        <v>-5930500</v>
      </c>
      <c r="O3" t="s">
        <v>86</v>
      </c>
      <c r="P3" s="5">
        <v>160</v>
      </c>
      <c r="Q3" t="s">
        <v>74</v>
      </c>
      <c r="R3" t="s">
        <v>923</v>
      </c>
      <c r="S3" t="s">
        <v>51</v>
      </c>
      <c r="T3" t="s">
        <v>31</v>
      </c>
    </row>
    <row r="4" spans="1:20" x14ac:dyDescent="0.2">
      <c r="A4" t="s">
        <v>921</v>
      </c>
      <c r="B4" t="s">
        <v>204</v>
      </c>
      <c r="C4" t="s">
        <v>204</v>
      </c>
      <c r="D4" s="1" t="s">
        <v>924</v>
      </c>
      <c r="E4" t="s">
        <v>35</v>
      </c>
      <c r="F4">
        <v>21</v>
      </c>
      <c r="G4" t="s">
        <v>344</v>
      </c>
      <c r="H4" t="s">
        <v>345</v>
      </c>
      <c r="I4" s="9">
        <v>2021</v>
      </c>
      <c r="J4" s="5">
        <v>16</v>
      </c>
      <c r="K4" t="s">
        <v>26</v>
      </c>
      <c r="L4" s="10">
        <v>15098193</v>
      </c>
      <c r="M4" s="10">
        <v>0</v>
      </c>
      <c r="N4" s="10">
        <f t="shared" si="0"/>
        <v>-15098193</v>
      </c>
      <c r="O4" t="s">
        <v>28</v>
      </c>
      <c r="P4" s="5">
        <v>230</v>
      </c>
      <c r="Q4" t="s">
        <v>28</v>
      </c>
      <c r="R4" t="s">
        <v>413</v>
      </c>
      <c r="S4" t="s">
        <v>162</v>
      </c>
      <c r="T4" t="s">
        <v>31</v>
      </c>
    </row>
    <row r="5" spans="1:20" x14ac:dyDescent="0.2">
      <c r="A5" t="s">
        <v>925</v>
      </c>
      <c r="B5" t="s">
        <v>204</v>
      </c>
      <c r="C5" t="s">
        <v>204</v>
      </c>
      <c r="D5" s="1" t="s">
        <v>926</v>
      </c>
      <c r="E5" t="s">
        <v>39</v>
      </c>
      <c r="F5">
        <v>23</v>
      </c>
      <c r="G5" t="s">
        <v>421</v>
      </c>
      <c r="H5" t="s">
        <v>345</v>
      </c>
      <c r="I5" s="9">
        <v>2020</v>
      </c>
      <c r="J5" s="5">
        <v>58</v>
      </c>
      <c r="K5" t="s">
        <v>26</v>
      </c>
      <c r="L5" s="10">
        <v>560000</v>
      </c>
      <c r="M5" s="10">
        <v>0</v>
      </c>
      <c r="N5" s="10">
        <f t="shared" si="0"/>
        <v>-560000</v>
      </c>
      <c r="O5" t="s">
        <v>28</v>
      </c>
      <c r="P5" s="5">
        <v>220</v>
      </c>
      <c r="Q5" t="s">
        <v>41</v>
      </c>
      <c r="R5" t="s">
        <v>927</v>
      </c>
      <c r="T5" t="s">
        <v>928</v>
      </c>
    </row>
    <row r="6" spans="1:20" s="41" customFormat="1" x14ac:dyDescent="0.2">
      <c r="A6" s="41" t="s">
        <v>925</v>
      </c>
      <c r="B6" s="41" t="s">
        <v>204</v>
      </c>
      <c r="C6" s="41" t="s">
        <v>204</v>
      </c>
      <c r="D6" s="63" t="s">
        <v>929</v>
      </c>
      <c r="E6" s="41" t="s">
        <v>39</v>
      </c>
      <c r="F6" s="41">
        <v>22</v>
      </c>
      <c r="G6" s="41" t="s">
        <v>421</v>
      </c>
      <c r="H6" s="41" t="s">
        <v>345</v>
      </c>
      <c r="I6" s="66">
        <v>2024</v>
      </c>
      <c r="J6" s="57">
        <v>33</v>
      </c>
      <c r="K6" s="41" t="s">
        <v>26</v>
      </c>
      <c r="L6" s="67">
        <v>560000</v>
      </c>
      <c r="M6" s="67">
        <v>0</v>
      </c>
      <c r="N6" s="67">
        <f t="shared" si="0"/>
        <v>-560000</v>
      </c>
      <c r="O6" s="41" t="s">
        <v>45</v>
      </c>
      <c r="P6" s="57">
        <v>195</v>
      </c>
      <c r="Q6" s="41" t="s">
        <v>74</v>
      </c>
      <c r="R6" s="41" t="s">
        <v>342</v>
      </c>
      <c r="S6" s="41" t="s">
        <v>242</v>
      </c>
      <c r="T6" s="41" t="s">
        <v>31</v>
      </c>
    </row>
    <row r="7" spans="1:20" x14ac:dyDescent="0.2">
      <c r="A7" t="s">
        <v>930</v>
      </c>
      <c r="B7" t="s">
        <v>204</v>
      </c>
      <c r="C7" t="s">
        <v>204</v>
      </c>
      <c r="D7" s="1" t="s">
        <v>931</v>
      </c>
      <c r="E7" t="s">
        <v>35</v>
      </c>
      <c r="F7">
        <v>20</v>
      </c>
      <c r="G7" t="s">
        <v>932</v>
      </c>
      <c r="H7" t="s">
        <v>345</v>
      </c>
      <c r="I7" s="9">
        <v>2023</v>
      </c>
      <c r="J7" s="5">
        <v>13</v>
      </c>
      <c r="K7" t="s">
        <v>26</v>
      </c>
      <c r="L7" s="10">
        <v>21422551</v>
      </c>
      <c r="M7" s="10">
        <v>0</v>
      </c>
      <c r="N7" s="10">
        <f t="shared" si="0"/>
        <v>-21422551</v>
      </c>
      <c r="O7" t="s">
        <v>55</v>
      </c>
      <c r="P7" s="5">
        <v>165</v>
      </c>
      <c r="Q7" t="s">
        <v>49</v>
      </c>
      <c r="R7" t="s">
        <v>933</v>
      </c>
      <c r="S7" t="s">
        <v>148</v>
      </c>
      <c r="T7" t="s">
        <v>31</v>
      </c>
    </row>
    <row r="8" spans="1:20" s="35" customFormat="1" x14ac:dyDescent="0.2">
      <c r="A8" t="s">
        <v>934</v>
      </c>
      <c r="B8" t="s">
        <v>204</v>
      </c>
      <c r="C8" t="s">
        <v>204</v>
      </c>
      <c r="D8" s="1" t="s">
        <v>935</v>
      </c>
      <c r="E8" t="s">
        <v>107</v>
      </c>
      <c r="F8">
        <v>22</v>
      </c>
      <c r="G8" t="s">
        <v>449</v>
      </c>
      <c r="H8" t="s">
        <v>345</v>
      </c>
      <c r="I8" s="9">
        <v>2021</v>
      </c>
      <c r="J8" s="5" t="s">
        <v>26</v>
      </c>
      <c r="K8" s="5">
        <v>59</v>
      </c>
      <c r="L8" s="10">
        <v>0</v>
      </c>
      <c r="M8" s="10">
        <v>560000</v>
      </c>
      <c r="N8" s="10">
        <f t="shared" si="0"/>
        <v>560000</v>
      </c>
      <c r="O8" t="s">
        <v>27</v>
      </c>
      <c r="P8" s="5">
        <v>270</v>
      </c>
      <c r="Q8" t="s">
        <v>28</v>
      </c>
      <c r="R8" t="s">
        <v>936</v>
      </c>
      <c r="S8" t="s">
        <v>33</v>
      </c>
      <c r="T8" t="s">
        <v>31</v>
      </c>
    </row>
    <row r="9" spans="1:20" s="35" customFormat="1" x14ac:dyDescent="0.2">
      <c r="A9" s="35" t="s">
        <v>934</v>
      </c>
      <c r="B9" s="35" t="s">
        <v>204</v>
      </c>
      <c r="C9" s="35" t="s">
        <v>204</v>
      </c>
      <c r="D9" s="48" t="s">
        <v>937</v>
      </c>
      <c r="E9" s="35" t="s">
        <v>35</v>
      </c>
      <c r="F9" s="35">
        <v>21</v>
      </c>
      <c r="G9" s="35" t="s">
        <v>449</v>
      </c>
      <c r="H9" s="35" t="s">
        <v>345</v>
      </c>
      <c r="I9" s="68">
        <v>2021</v>
      </c>
      <c r="J9" s="46" t="s">
        <v>26</v>
      </c>
      <c r="K9" s="46">
        <v>57</v>
      </c>
      <c r="L9" s="69">
        <v>0</v>
      </c>
      <c r="M9" s="69">
        <v>0</v>
      </c>
      <c r="N9" s="69">
        <f t="shared" si="0"/>
        <v>0</v>
      </c>
      <c r="O9" s="35" t="s">
        <v>141</v>
      </c>
      <c r="P9" s="46">
        <v>250</v>
      </c>
      <c r="Q9" s="35" t="s">
        <v>41</v>
      </c>
      <c r="R9" s="35" t="s">
        <v>828</v>
      </c>
      <c r="S9" s="35" t="s">
        <v>33</v>
      </c>
      <c r="T9" s="35" t="s">
        <v>31</v>
      </c>
    </row>
    <row r="10" spans="1:20" s="41" customFormat="1" x14ac:dyDescent="0.2">
      <c r="A10" s="41" t="s">
        <v>938</v>
      </c>
      <c r="B10" s="41" t="s">
        <v>204</v>
      </c>
      <c r="C10" s="41" t="s">
        <v>204</v>
      </c>
      <c r="D10" s="63" t="s">
        <v>939</v>
      </c>
      <c r="E10" s="41" t="s">
        <v>39</v>
      </c>
      <c r="F10" s="41">
        <v>23</v>
      </c>
      <c r="G10" s="41" t="s">
        <v>218</v>
      </c>
      <c r="H10" s="41" t="s">
        <v>214</v>
      </c>
      <c r="I10" s="66">
        <v>2023</v>
      </c>
      <c r="J10" s="57">
        <v>58</v>
      </c>
      <c r="K10" s="57">
        <v>57</v>
      </c>
      <c r="L10" s="67">
        <v>560000</v>
      </c>
      <c r="M10" s="67">
        <v>3011420</v>
      </c>
      <c r="N10" s="67">
        <f t="shared" si="0"/>
        <v>2451420</v>
      </c>
      <c r="O10" s="41" t="s">
        <v>40</v>
      </c>
      <c r="P10" s="57">
        <v>245</v>
      </c>
      <c r="Q10" s="41" t="s">
        <v>141</v>
      </c>
      <c r="R10" s="41" t="s">
        <v>940</v>
      </c>
      <c r="S10" s="41" t="s">
        <v>218</v>
      </c>
      <c r="T10" s="41" t="s">
        <v>31</v>
      </c>
    </row>
    <row r="11" spans="1:20" x14ac:dyDescent="0.2">
      <c r="A11" s="41" t="s">
        <v>941</v>
      </c>
      <c r="B11" s="41" t="s">
        <v>204</v>
      </c>
      <c r="C11" s="41" t="s">
        <v>204</v>
      </c>
      <c r="D11" s="63" t="s">
        <v>942</v>
      </c>
      <c r="E11" s="41" t="s">
        <v>39</v>
      </c>
      <c r="F11" s="57">
        <v>23</v>
      </c>
      <c r="G11" s="41" t="s">
        <v>943</v>
      </c>
      <c r="H11" s="41" t="s">
        <v>345</v>
      </c>
      <c r="I11" s="66">
        <v>2023</v>
      </c>
      <c r="J11" s="57" t="s">
        <v>26</v>
      </c>
      <c r="K11" s="57">
        <v>55</v>
      </c>
      <c r="L11" s="67">
        <v>0</v>
      </c>
      <c r="M11" s="67">
        <v>560000</v>
      </c>
      <c r="N11" s="67">
        <f t="shared" si="0"/>
        <v>560000</v>
      </c>
      <c r="O11" s="41" t="s">
        <v>55</v>
      </c>
      <c r="P11" s="57">
        <v>185</v>
      </c>
      <c r="Q11" s="41" t="s">
        <v>49</v>
      </c>
      <c r="R11" s="41" t="s">
        <v>944</v>
      </c>
      <c r="S11" s="41" t="s">
        <v>68</v>
      </c>
      <c r="T11" s="41" t="s">
        <v>31</v>
      </c>
    </row>
    <row r="12" spans="1:20" x14ac:dyDescent="0.2">
      <c r="A12" t="s">
        <v>921</v>
      </c>
      <c r="B12" t="s">
        <v>204</v>
      </c>
      <c r="C12" t="s">
        <v>204</v>
      </c>
      <c r="D12" s="1" t="s">
        <v>945</v>
      </c>
      <c r="E12" t="s">
        <v>338</v>
      </c>
      <c r="F12">
        <v>20</v>
      </c>
      <c r="G12" t="s">
        <v>344</v>
      </c>
      <c r="H12" t="s">
        <v>345</v>
      </c>
      <c r="I12" s="9">
        <v>2020</v>
      </c>
      <c r="J12" s="5" t="s">
        <v>26</v>
      </c>
      <c r="K12" s="5">
        <v>54</v>
      </c>
      <c r="L12" s="10">
        <v>0</v>
      </c>
      <c r="M12" s="10">
        <v>560000</v>
      </c>
      <c r="N12" s="10">
        <f t="shared" si="0"/>
        <v>560000</v>
      </c>
      <c r="O12" t="s">
        <v>49</v>
      </c>
      <c r="P12" s="5">
        <v>200</v>
      </c>
      <c r="Q12" t="s">
        <v>74</v>
      </c>
      <c r="R12" t="s">
        <v>946</v>
      </c>
      <c r="S12" t="s">
        <v>57</v>
      </c>
      <c r="T12" t="s">
        <v>31</v>
      </c>
    </row>
    <row r="13" spans="1:20" x14ac:dyDescent="0.2">
      <c r="A13" s="35" t="s">
        <v>941</v>
      </c>
      <c r="B13" s="35" t="s">
        <v>204</v>
      </c>
      <c r="C13" s="35" t="s">
        <v>204</v>
      </c>
      <c r="D13" s="48" t="s">
        <v>947</v>
      </c>
      <c r="E13" s="35" t="s">
        <v>39</v>
      </c>
      <c r="F13" s="46">
        <v>24</v>
      </c>
      <c r="G13" s="35" t="s">
        <v>943</v>
      </c>
      <c r="H13" s="35" t="s">
        <v>345</v>
      </c>
      <c r="I13" s="68">
        <v>2023</v>
      </c>
      <c r="J13" s="46" t="s">
        <v>26</v>
      </c>
      <c r="K13" s="46">
        <v>48</v>
      </c>
      <c r="L13" s="69">
        <v>0</v>
      </c>
      <c r="M13" s="69">
        <v>560000</v>
      </c>
      <c r="N13" s="69">
        <f t="shared" si="0"/>
        <v>560000</v>
      </c>
      <c r="O13" s="35" t="s">
        <v>49</v>
      </c>
      <c r="P13" s="46">
        <v>190</v>
      </c>
      <c r="Q13" s="35" t="s">
        <v>59</v>
      </c>
      <c r="R13" s="35" t="s">
        <v>948</v>
      </c>
      <c r="S13" s="35" t="s">
        <v>421</v>
      </c>
      <c r="T13" s="35" t="s">
        <v>31</v>
      </c>
    </row>
    <row r="14" spans="1:20" s="41" customFormat="1" x14ac:dyDescent="0.2">
      <c r="A14" s="41" t="s">
        <v>949</v>
      </c>
      <c r="B14" s="41" t="s">
        <v>204</v>
      </c>
      <c r="C14" s="41" t="s">
        <v>204</v>
      </c>
      <c r="D14" s="63" t="s">
        <v>950</v>
      </c>
      <c r="E14" s="41" t="s">
        <v>338</v>
      </c>
      <c r="F14" s="41">
        <v>18</v>
      </c>
      <c r="G14" s="41" t="s">
        <v>662</v>
      </c>
      <c r="H14" s="41" t="s">
        <v>214</v>
      </c>
      <c r="I14" s="66">
        <v>2024</v>
      </c>
      <c r="J14" s="57" t="s">
        <v>26</v>
      </c>
      <c r="K14" s="57">
        <v>46</v>
      </c>
      <c r="L14" s="67">
        <v>0</v>
      </c>
      <c r="M14" s="67">
        <v>3112530</v>
      </c>
      <c r="N14" s="67">
        <f t="shared" si="0"/>
        <v>3112530</v>
      </c>
      <c r="O14" s="41" t="s">
        <v>49</v>
      </c>
      <c r="P14" s="57">
        <v>190</v>
      </c>
      <c r="Q14" s="41" t="s">
        <v>27</v>
      </c>
      <c r="R14" s="41" t="s">
        <v>283</v>
      </c>
      <c r="S14" s="41" t="s">
        <v>51</v>
      </c>
      <c r="T14" s="41" t="s">
        <v>31</v>
      </c>
    </row>
    <row r="15" spans="1:20" x14ac:dyDescent="0.2">
      <c r="A15" t="s">
        <v>951</v>
      </c>
      <c r="B15" t="s">
        <v>204</v>
      </c>
      <c r="C15" t="s">
        <v>204</v>
      </c>
      <c r="D15" s="1" t="s">
        <v>952</v>
      </c>
      <c r="E15" t="s">
        <v>338</v>
      </c>
      <c r="F15">
        <v>20</v>
      </c>
      <c r="G15" t="s">
        <v>159</v>
      </c>
      <c r="H15" t="s">
        <v>214</v>
      </c>
      <c r="I15" s="9">
        <v>2022</v>
      </c>
      <c r="J15" t="s">
        <v>26</v>
      </c>
      <c r="K15" s="5">
        <v>43</v>
      </c>
      <c r="L15" s="10">
        <v>0</v>
      </c>
      <c r="M15" s="10">
        <v>560000</v>
      </c>
      <c r="N15" s="10">
        <f t="shared" si="0"/>
        <v>560000</v>
      </c>
      <c r="O15" t="s">
        <v>28</v>
      </c>
      <c r="P15" s="5">
        <v>215</v>
      </c>
      <c r="Q15" t="s">
        <v>41</v>
      </c>
      <c r="R15" t="s">
        <v>396</v>
      </c>
      <c r="T15" t="s">
        <v>397</v>
      </c>
    </row>
    <row r="16" spans="1:20" s="35" customFormat="1" x14ac:dyDescent="0.2">
      <c r="A16" s="35" t="s">
        <v>934</v>
      </c>
      <c r="B16" s="35" t="s">
        <v>204</v>
      </c>
      <c r="C16" s="35" t="s">
        <v>204</v>
      </c>
      <c r="D16" s="48" t="s">
        <v>389</v>
      </c>
      <c r="E16" s="35" t="s">
        <v>39</v>
      </c>
      <c r="F16" s="35">
        <v>23</v>
      </c>
      <c r="G16" s="35" t="s">
        <v>449</v>
      </c>
      <c r="H16" s="35" t="s">
        <v>345</v>
      </c>
      <c r="I16" s="68">
        <v>2025</v>
      </c>
      <c r="J16" s="46" t="s">
        <v>26</v>
      </c>
      <c r="K16" s="46">
        <v>43</v>
      </c>
      <c r="L16" s="69">
        <v>0</v>
      </c>
      <c r="M16" s="69">
        <v>560000</v>
      </c>
      <c r="N16" s="69">
        <f t="shared" si="0"/>
        <v>560000</v>
      </c>
      <c r="O16" s="35" t="s">
        <v>49</v>
      </c>
      <c r="P16" s="46">
        <v>215</v>
      </c>
      <c r="Q16" s="35" t="s">
        <v>59</v>
      </c>
      <c r="R16" s="35" t="s">
        <v>391</v>
      </c>
      <c r="S16" s="35" t="s">
        <v>68</v>
      </c>
      <c r="T16" s="35" t="s">
        <v>31</v>
      </c>
    </row>
    <row r="17" spans="1:20" x14ac:dyDescent="0.2">
      <c r="A17" t="s">
        <v>951</v>
      </c>
      <c r="B17" t="s">
        <v>204</v>
      </c>
      <c r="C17" t="s">
        <v>204</v>
      </c>
      <c r="D17" s="1" t="s">
        <v>953</v>
      </c>
      <c r="E17" t="s">
        <v>39</v>
      </c>
      <c r="F17">
        <v>22</v>
      </c>
      <c r="G17" t="s">
        <v>159</v>
      </c>
      <c r="H17" t="s">
        <v>214</v>
      </c>
      <c r="I17" s="9">
        <v>2021</v>
      </c>
      <c r="J17" t="s">
        <v>26</v>
      </c>
      <c r="K17" s="5">
        <v>42</v>
      </c>
      <c r="L17" s="10">
        <v>0</v>
      </c>
      <c r="M17" s="10">
        <v>4456874</v>
      </c>
      <c r="N17" s="10">
        <f t="shared" si="0"/>
        <v>4456874</v>
      </c>
      <c r="O17" t="s">
        <v>74</v>
      </c>
      <c r="P17" s="5">
        <v>230</v>
      </c>
      <c r="Q17" t="s">
        <v>40</v>
      </c>
      <c r="R17" t="s">
        <v>954</v>
      </c>
      <c r="S17" t="s">
        <v>159</v>
      </c>
      <c r="T17" t="s">
        <v>31</v>
      </c>
    </row>
    <row r="18" spans="1:20" x14ac:dyDescent="0.2">
      <c r="A18" t="s">
        <v>921</v>
      </c>
      <c r="B18" t="s">
        <v>204</v>
      </c>
      <c r="C18" t="s">
        <v>204</v>
      </c>
      <c r="D18" s="1" t="s">
        <v>955</v>
      </c>
      <c r="E18" t="s">
        <v>338</v>
      </c>
      <c r="F18">
        <v>18</v>
      </c>
      <c r="G18" t="s">
        <v>344</v>
      </c>
      <c r="H18" t="s">
        <v>345</v>
      </c>
      <c r="I18" s="9">
        <v>2022</v>
      </c>
      <c r="J18" s="5">
        <v>14</v>
      </c>
      <c r="K18" s="5">
        <v>42</v>
      </c>
      <c r="L18" s="10">
        <v>18726365</v>
      </c>
      <c r="M18" s="10">
        <v>560000</v>
      </c>
      <c r="N18" s="10">
        <f t="shared" si="0"/>
        <v>-18166365</v>
      </c>
      <c r="O18" t="s">
        <v>55</v>
      </c>
      <c r="P18" s="5">
        <v>225</v>
      </c>
      <c r="Q18" t="s">
        <v>74</v>
      </c>
      <c r="R18" t="s">
        <v>956</v>
      </c>
      <c r="S18" t="s">
        <v>151</v>
      </c>
      <c r="T18" t="s">
        <v>31</v>
      </c>
    </row>
    <row r="19" spans="1:20" x14ac:dyDescent="0.2">
      <c r="A19" t="s">
        <v>921</v>
      </c>
      <c r="B19" t="s">
        <v>204</v>
      </c>
      <c r="C19" t="s">
        <v>204</v>
      </c>
      <c r="D19" s="1" t="s">
        <v>957</v>
      </c>
      <c r="E19" t="s">
        <v>35</v>
      </c>
      <c r="F19">
        <v>20</v>
      </c>
      <c r="G19" t="s">
        <v>344</v>
      </c>
      <c r="H19" t="s">
        <v>345</v>
      </c>
      <c r="I19" s="9">
        <v>2021</v>
      </c>
      <c r="J19" s="5">
        <v>18</v>
      </c>
      <c r="K19" s="5">
        <v>41</v>
      </c>
      <c r="L19" s="10">
        <v>13638019</v>
      </c>
      <c r="M19" s="10">
        <v>4198912</v>
      </c>
      <c r="N19" s="10">
        <f t="shared" si="0"/>
        <v>-9439107</v>
      </c>
      <c r="O19" t="s">
        <v>86</v>
      </c>
      <c r="P19" s="5">
        <v>185</v>
      </c>
      <c r="Q19" t="s">
        <v>55</v>
      </c>
      <c r="R19" t="s">
        <v>958</v>
      </c>
      <c r="S19" t="s">
        <v>162</v>
      </c>
      <c r="T19" t="s">
        <v>31</v>
      </c>
    </row>
    <row r="20" spans="1:20" x14ac:dyDescent="0.2">
      <c r="A20" t="s">
        <v>959</v>
      </c>
      <c r="B20" t="s">
        <v>204</v>
      </c>
      <c r="C20" t="s">
        <v>204</v>
      </c>
      <c r="D20" s="1" t="s">
        <v>960</v>
      </c>
      <c r="E20" t="s">
        <v>107</v>
      </c>
      <c r="F20">
        <v>21</v>
      </c>
      <c r="G20" t="s">
        <v>961</v>
      </c>
      <c r="H20" t="s">
        <v>22</v>
      </c>
      <c r="I20" s="9">
        <v>2020</v>
      </c>
      <c r="J20" s="5" t="s">
        <v>26</v>
      </c>
      <c r="K20" s="5">
        <v>38</v>
      </c>
      <c r="L20" s="10">
        <v>0</v>
      </c>
      <c r="M20" s="10">
        <v>560000</v>
      </c>
      <c r="N20" s="10">
        <f t="shared" si="0"/>
        <v>560000</v>
      </c>
      <c r="O20" t="s">
        <v>86</v>
      </c>
      <c r="P20" s="5">
        <v>175</v>
      </c>
      <c r="Q20" t="s">
        <v>40</v>
      </c>
      <c r="R20" t="s">
        <v>962</v>
      </c>
      <c r="S20" t="s">
        <v>145</v>
      </c>
      <c r="T20" t="s">
        <v>31</v>
      </c>
    </row>
    <row r="21" spans="1:20" s="35" customFormat="1" x14ac:dyDescent="0.2">
      <c r="D21" s="35" t="s">
        <v>963</v>
      </c>
      <c r="F21" s="46">
        <v>23</v>
      </c>
      <c r="G21" s="35" t="s">
        <v>964</v>
      </c>
      <c r="I21" s="46">
        <v>2022</v>
      </c>
      <c r="J21" s="46">
        <v>26</v>
      </c>
      <c r="K21" s="46">
        <v>37</v>
      </c>
      <c r="M21" s="75">
        <v>3137645</v>
      </c>
      <c r="N21" s="69">
        <f t="shared" si="0"/>
        <v>3137645</v>
      </c>
      <c r="O21" s="35" t="s">
        <v>55</v>
      </c>
      <c r="P21" s="46">
        <v>200</v>
      </c>
      <c r="Q21" s="35" t="s">
        <v>40</v>
      </c>
      <c r="R21" s="35" t="s">
        <v>965</v>
      </c>
      <c r="S21" s="35" t="s">
        <v>784</v>
      </c>
      <c r="T21" s="35" t="s">
        <v>31</v>
      </c>
    </row>
    <row r="22" spans="1:20" s="35" customFormat="1" x14ac:dyDescent="0.2">
      <c r="D22" s="35" t="s">
        <v>966</v>
      </c>
      <c r="F22" s="46">
        <v>20</v>
      </c>
      <c r="G22" s="35" t="s">
        <v>964</v>
      </c>
      <c r="I22" s="46">
        <v>2024</v>
      </c>
      <c r="J22" s="46">
        <v>18</v>
      </c>
      <c r="K22" s="46">
        <v>33</v>
      </c>
      <c r="M22" s="75">
        <v>3112530</v>
      </c>
      <c r="N22" s="75">
        <v>3112530</v>
      </c>
      <c r="O22" s="35" t="s">
        <v>28</v>
      </c>
      <c r="P22" s="46">
        <v>225</v>
      </c>
      <c r="Q22" s="35" t="s">
        <v>141</v>
      </c>
      <c r="R22" s="35" t="s">
        <v>967</v>
      </c>
      <c r="S22" s="35" t="s">
        <v>82</v>
      </c>
      <c r="T22" s="35" t="s">
        <v>31</v>
      </c>
    </row>
    <row r="23" spans="1:20" s="41" customFormat="1" x14ac:dyDescent="0.2">
      <c r="A23" s="41" t="s">
        <v>951</v>
      </c>
      <c r="B23" s="41" t="s">
        <v>204</v>
      </c>
      <c r="C23" s="41" t="s">
        <v>204</v>
      </c>
      <c r="D23" s="63" t="s">
        <v>968</v>
      </c>
      <c r="E23" s="41" t="s">
        <v>338</v>
      </c>
      <c r="F23" s="41">
        <v>19</v>
      </c>
      <c r="G23" s="41" t="s">
        <v>159</v>
      </c>
      <c r="H23" s="41" t="s">
        <v>214</v>
      </c>
      <c r="I23" s="66">
        <v>2022</v>
      </c>
      <c r="J23" s="57">
        <v>6</v>
      </c>
      <c r="K23" s="57">
        <v>32</v>
      </c>
      <c r="L23" s="67">
        <v>29936173</v>
      </c>
      <c r="M23" s="67">
        <v>4000000</v>
      </c>
      <c r="N23" s="67">
        <f t="shared" ref="N23:N29" si="1">M23-L23</f>
        <v>-25936173</v>
      </c>
      <c r="O23" s="41" t="s">
        <v>27</v>
      </c>
      <c r="P23" s="57">
        <v>205</v>
      </c>
      <c r="Q23" s="41" t="s">
        <v>36</v>
      </c>
      <c r="R23" s="41" t="s">
        <v>183</v>
      </c>
      <c r="T23" s="41" t="s">
        <v>185</v>
      </c>
    </row>
    <row r="24" spans="1:20" x14ac:dyDescent="0.2">
      <c r="A24" t="s">
        <v>921</v>
      </c>
      <c r="B24" t="s">
        <v>204</v>
      </c>
      <c r="C24" t="s">
        <v>204</v>
      </c>
      <c r="D24" s="1" t="s">
        <v>969</v>
      </c>
      <c r="E24" t="s">
        <v>338</v>
      </c>
      <c r="F24">
        <v>19</v>
      </c>
      <c r="G24" t="s">
        <v>344</v>
      </c>
      <c r="H24" t="s">
        <v>345</v>
      </c>
      <c r="I24" s="9">
        <v>2020</v>
      </c>
      <c r="J24" s="5">
        <v>27</v>
      </c>
      <c r="K24" s="5">
        <v>32</v>
      </c>
      <c r="L24" s="10">
        <v>10151244</v>
      </c>
      <c r="M24" s="10">
        <v>6581283</v>
      </c>
      <c r="N24" s="10">
        <f t="shared" si="1"/>
        <v>-3569961</v>
      </c>
      <c r="O24" t="s">
        <v>28</v>
      </c>
      <c r="P24" s="5">
        <v>270</v>
      </c>
      <c r="Q24" t="s">
        <v>141</v>
      </c>
      <c r="R24" t="s">
        <v>936</v>
      </c>
      <c r="S24" t="s">
        <v>33</v>
      </c>
      <c r="T24" t="s">
        <v>31</v>
      </c>
    </row>
    <row r="25" spans="1:20" x14ac:dyDescent="0.2">
      <c r="A25" t="s">
        <v>970</v>
      </c>
      <c r="B25" t="s">
        <v>204</v>
      </c>
      <c r="C25" t="s">
        <v>204</v>
      </c>
      <c r="D25" s="1" t="s">
        <v>971</v>
      </c>
      <c r="E25" t="s">
        <v>35</v>
      </c>
      <c r="F25">
        <v>20</v>
      </c>
      <c r="G25" t="s">
        <v>972</v>
      </c>
      <c r="H25" t="s">
        <v>973</v>
      </c>
      <c r="I25" s="9">
        <v>2021</v>
      </c>
      <c r="J25" s="5" t="s">
        <v>26</v>
      </c>
      <c r="K25" s="5">
        <v>30</v>
      </c>
      <c r="L25" s="10">
        <v>0</v>
      </c>
      <c r="M25" s="10">
        <v>10243371</v>
      </c>
      <c r="N25" s="10">
        <f t="shared" si="1"/>
        <v>10243371</v>
      </c>
      <c r="O25" t="s">
        <v>59</v>
      </c>
      <c r="P25" s="5">
        <v>225</v>
      </c>
      <c r="Q25" t="s">
        <v>59</v>
      </c>
      <c r="R25" t="s">
        <v>974</v>
      </c>
      <c r="T25" t="s">
        <v>975</v>
      </c>
    </row>
    <row r="26" spans="1:20" x14ac:dyDescent="0.2">
      <c r="A26" t="s">
        <v>925</v>
      </c>
      <c r="B26" t="s">
        <v>204</v>
      </c>
      <c r="C26" t="s">
        <v>204</v>
      </c>
      <c r="D26" s="1" t="s">
        <v>976</v>
      </c>
      <c r="E26" t="s">
        <v>35</v>
      </c>
      <c r="F26">
        <v>21</v>
      </c>
      <c r="G26" t="s">
        <v>421</v>
      </c>
      <c r="H26" t="s">
        <v>345</v>
      </c>
      <c r="I26" s="9">
        <v>2024</v>
      </c>
      <c r="J26" s="5">
        <v>21</v>
      </c>
      <c r="K26" s="5">
        <v>28</v>
      </c>
      <c r="L26" s="10">
        <v>15654827</v>
      </c>
      <c r="M26" s="10">
        <v>12998353</v>
      </c>
      <c r="N26" s="10">
        <f t="shared" si="1"/>
        <v>-2656474</v>
      </c>
      <c r="O26" t="s">
        <v>74</v>
      </c>
      <c r="P26" s="5">
        <v>215</v>
      </c>
      <c r="Q26" t="s">
        <v>141</v>
      </c>
      <c r="R26" t="s">
        <v>977</v>
      </c>
      <c r="S26" t="s">
        <v>113</v>
      </c>
      <c r="T26" t="s">
        <v>31</v>
      </c>
    </row>
    <row r="27" spans="1:20" x14ac:dyDescent="0.2">
      <c r="A27" t="s">
        <v>978</v>
      </c>
      <c r="B27" t="s">
        <v>204</v>
      </c>
      <c r="C27" t="s">
        <v>204</v>
      </c>
      <c r="D27" s="1" t="s">
        <v>979</v>
      </c>
      <c r="E27" t="s">
        <v>35</v>
      </c>
      <c r="F27" s="5">
        <v>20</v>
      </c>
      <c r="G27" t="s">
        <v>82</v>
      </c>
      <c r="H27" t="s">
        <v>22</v>
      </c>
      <c r="I27" s="9">
        <v>2024</v>
      </c>
      <c r="J27" s="5">
        <v>28</v>
      </c>
      <c r="K27" s="5">
        <v>28</v>
      </c>
      <c r="L27" s="10">
        <v>12998353</v>
      </c>
      <c r="M27" s="10">
        <v>0</v>
      </c>
      <c r="N27" s="10">
        <f t="shared" si="1"/>
        <v>-12998353</v>
      </c>
      <c r="O27" t="s">
        <v>27</v>
      </c>
      <c r="P27" s="5">
        <v>205</v>
      </c>
      <c r="Q27" t="s">
        <v>28</v>
      </c>
      <c r="R27" t="s">
        <v>980</v>
      </c>
      <c r="S27" t="s">
        <v>33</v>
      </c>
      <c r="T27" t="s">
        <v>31</v>
      </c>
    </row>
    <row r="28" spans="1:20" x14ac:dyDescent="0.2">
      <c r="A28" t="s">
        <v>921</v>
      </c>
      <c r="B28" t="s">
        <v>204</v>
      </c>
      <c r="C28" t="s">
        <v>204</v>
      </c>
      <c r="D28" s="1" t="s">
        <v>981</v>
      </c>
      <c r="E28" t="s">
        <v>107</v>
      </c>
      <c r="F28">
        <v>20</v>
      </c>
      <c r="G28" t="s">
        <v>344</v>
      </c>
      <c r="H28" t="s">
        <v>345</v>
      </c>
      <c r="I28" s="9">
        <v>2022</v>
      </c>
      <c r="J28" s="5">
        <v>19</v>
      </c>
      <c r="K28" s="5">
        <v>26</v>
      </c>
      <c r="L28" s="10">
        <v>13030303</v>
      </c>
      <c r="M28" s="10">
        <v>11839563</v>
      </c>
      <c r="N28" s="10">
        <f t="shared" si="1"/>
        <v>-1190740</v>
      </c>
      <c r="O28" t="s">
        <v>63</v>
      </c>
      <c r="P28" s="5">
        <v>215</v>
      </c>
      <c r="Q28" t="s">
        <v>36</v>
      </c>
      <c r="R28" t="s">
        <v>147</v>
      </c>
      <c r="S28" t="s">
        <v>148</v>
      </c>
      <c r="T28" t="s">
        <v>31</v>
      </c>
    </row>
    <row r="29" spans="1:20" x14ac:dyDescent="0.2">
      <c r="A29" t="s">
        <v>941</v>
      </c>
      <c r="B29" t="s">
        <v>204</v>
      </c>
      <c r="C29" t="s">
        <v>204</v>
      </c>
      <c r="D29" s="1" t="s">
        <v>982</v>
      </c>
      <c r="E29" t="s">
        <v>338</v>
      </c>
      <c r="F29" s="5">
        <v>20</v>
      </c>
      <c r="G29" t="s">
        <v>943</v>
      </c>
      <c r="H29" t="s">
        <v>345</v>
      </c>
      <c r="I29" s="9">
        <v>2024</v>
      </c>
      <c r="J29" s="5" t="s">
        <v>26</v>
      </c>
      <c r="K29" s="5">
        <v>24</v>
      </c>
      <c r="L29" s="10">
        <v>0</v>
      </c>
      <c r="M29" s="10">
        <v>14336172</v>
      </c>
      <c r="N29" s="10">
        <f t="shared" si="1"/>
        <v>14336172</v>
      </c>
      <c r="O29" t="s">
        <v>27</v>
      </c>
      <c r="P29" s="5">
        <v>210</v>
      </c>
      <c r="Q29" t="s">
        <v>28</v>
      </c>
      <c r="R29" t="s">
        <v>983</v>
      </c>
      <c r="T29" t="s">
        <v>290</v>
      </c>
    </row>
    <row r="30" spans="1:20" x14ac:dyDescent="0.2">
      <c r="D30" t="s">
        <v>984</v>
      </c>
      <c r="F30" s="5">
        <v>24</v>
      </c>
      <c r="G30" t="s">
        <v>964</v>
      </c>
      <c r="I30" s="5">
        <v>2022</v>
      </c>
      <c r="J30" s="5">
        <v>32</v>
      </c>
      <c r="K30" s="5">
        <v>24</v>
      </c>
      <c r="O30" t="s">
        <v>49</v>
      </c>
      <c r="P30" s="5">
        <v>195</v>
      </c>
      <c r="Q30" t="s">
        <v>36</v>
      </c>
      <c r="R30" t="s">
        <v>388</v>
      </c>
      <c r="S30" t="s">
        <v>234</v>
      </c>
      <c r="T30" t="s">
        <v>31</v>
      </c>
    </row>
    <row r="31" spans="1:20" x14ac:dyDescent="0.2">
      <c r="A31" t="s">
        <v>985</v>
      </c>
      <c r="B31" t="s">
        <v>204</v>
      </c>
      <c r="C31" t="s">
        <v>204</v>
      </c>
      <c r="D31" s="1" t="s">
        <v>986</v>
      </c>
      <c r="E31" t="s">
        <v>338</v>
      </c>
      <c r="F31">
        <v>19</v>
      </c>
      <c r="G31" t="s">
        <v>395</v>
      </c>
      <c r="H31" t="s">
        <v>85</v>
      </c>
      <c r="I31" s="9">
        <v>2020</v>
      </c>
      <c r="J31" s="1" t="s">
        <v>26</v>
      </c>
      <c r="K31" s="5">
        <v>21</v>
      </c>
      <c r="L31" s="10">
        <v>0</v>
      </c>
      <c r="M31" s="10">
        <v>6521129</v>
      </c>
      <c r="N31" s="10">
        <f t="shared" ref="N31:N42" si="2">M31-L31</f>
        <v>6521129</v>
      </c>
      <c r="O31" t="s">
        <v>45</v>
      </c>
      <c r="P31" s="5">
        <v>170</v>
      </c>
      <c r="Q31" t="s">
        <v>86</v>
      </c>
      <c r="R31" t="s">
        <v>306</v>
      </c>
      <c r="S31" t="s">
        <v>162</v>
      </c>
      <c r="T31" t="s">
        <v>31</v>
      </c>
    </row>
    <row r="32" spans="1:20" x14ac:dyDescent="0.2">
      <c r="A32" t="s">
        <v>921</v>
      </c>
      <c r="B32" t="s">
        <v>204</v>
      </c>
      <c r="C32" t="s">
        <v>204</v>
      </c>
      <c r="D32" s="1" t="s">
        <v>987</v>
      </c>
      <c r="E32" t="s">
        <v>338</v>
      </c>
      <c r="F32">
        <v>19</v>
      </c>
      <c r="G32" t="s">
        <v>344</v>
      </c>
      <c r="H32" t="s">
        <v>345</v>
      </c>
      <c r="I32" s="9">
        <v>2021</v>
      </c>
      <c r="J32" s="5">
        <v>6</v>
      </c>
      <c r="K32" s="5">
        <v>20</v>
      </c>
      <c r="L32" s="10">
        <v>15718700</v>
      </c>
      <c r="M32" s="10">
        <v>6981400</v>
      </c>
      <c r="N32" s="10">
        <f t="shared" si="2"/>
        <v>-8737300</v>
      </c>
      <c r="O32" t="s">
        <v>40</v>
      </c>
      <c r="P32" s="5">
        <v>210</v>
      </c>
      <c r="Q32" t="s">
        <v>59</v>
      </c>
      <c r="R32" t="s">
        <v>988</v>
      </c>
      <c r="S32" t="s">
        <v>242</v>
      </c>
      <c r="T32" t="s">
        <v>31</v>
      </c>
    </row>
    <row r="33" spans="1:20" x14ac:dyDescent="0.2">
      <c r="A33" t="s">
        <v>989</v>
      </c>
      <c r="B33" t="s">
        <v>204</v>
      </c>
      <c r="C33" t="s">
        <v>204</v>
      </c>
      <c r="D33" s="1" t="s">
        <v>990</v>
      </c>
      <c r="E33" t="s">
        <v>338</v>
      </c>
      <c r="F33">
        <v>18</v>
      </c>
      <c r="G33" t="s">
        <v>991</v>
      </c>
      <c r="H33" t="s">
        <v>992</v>
      </c>
      <c r="I33" s="9">
        <v>2023</v>
      </c>
      <c r="J33" s="5">
        <v>6</v>
      </c>
      <c r="K33" s="5">
        <v>20</v>
      </c>
      <c r="L33" s="10">
        <v>32929836</v>
      </c>
      <c r="M33" s="10">
        <v>15595310</v>
      </c>
      <c r="N33" s="10">
        <f t="shared" si="2"/>
        <v>-17334526</v>
      </c>
      <c r="O33" t="s">
        <v>74</v>
      </c>
      <c r="P33" s="5">
        <v>235</v>
      </c>
      <c r="Q33" t="s">
        <v>27</v>
      </c>
      <c r="R33" t="s">
        <v>993</v>
      </c>
      <c r="S33" t="s">
        <v>151</v>
      </c>
      <c r="T33" t="s">
        <v>31</v>
      </c>
    </row>
    <row r="34" spans="1:20" x14ac:dyDescent="0.2">
      <c r="A34" t="s">
        <v>925</v>
      </c>
      <c r="B34" t="s">
        <v>204</v>
      </c>
      <c r="C34" t="s">
        <v>204</v>
      </c>
      <c r="D34" s="1" t="s">
        <v>994</v>
      </c>
      <c r="E34" t="s">
        <v>107</v>
      </c>
      <c r="F34">
        <v>21</v>
      </c>
      <c r="G34" t="s">
        <v>421</v>
      </c>
      <c r="H34" t="s">
        <v>345</v>
      </c>
      <c r="I34" s="9">
        <v>2021</v>
      </c>
      <c r="J34" s="5" t="s">
        <v>26</v>
      </c>
      <c r="K34" s="5">
        <v>17</v>
      </c>
      <c r="L34" s="10">
        <v>0</v>
      </c>
      <c r="M34" s="10">
        <v>14779415</v>
      </c>
      <c r="N34" s="10">
        <f t="shared" si="2"/>
        <v>14779415</v>
      </c>
      <c r="O34" t="s">
        <v>40</v>
      </c>
      <c r="P34" s="5">
        <v>205</v>
      </c>
      <c r="Q34" t="s">
        <v>36</v>
      </c>
      <c r="R34" t="s">
        <v>995</v>
      </c>
      <c r="S34" t="s">
        <v>148</v>
      </c>
      <c r="T34" t="s">
        <v>31</v>
      </c>
    </row>
    <row r="35" spans="1:20" x14ac:dyDescent="0.2">
      <c r="A35" t="s">
        <v>938</v>
      </c>
      <c r="B35" t="s">
        <v>204</v>
      </c>
      <c r="C35" t="s">
        <v>204</v>
      </c>
      <c r="D35" s="1" t="s">
        <v>996</v>
      </c>
      <c r="E35" t="s">
        <v>338</v>
      </c>
      <c r="F35">
        <v>20</v>
      </c>
      <c r="G35" t="s">
        <v>218</v>
      </c>
      <c r="H35" t="s">
        <v>214</v>
      </c>
      <c r="I35" s="9">
        <v>2023</v>
      </c>
      <c r="J35" s="5" t="s">
        <v>26</v>
      </c>
      <c r="K35" s="5">
        <v>17</v>
      </c>
      <c r="L35" s="10">
        <v>0</v>
      </c>
      <c r="M35" s="10">
        <v>17882808</v>
      </c>
      <c r="N35" s="10">
        <f t="shared" si="2"/>
        <v>17882808</v>
      </c>
      <c r="O35" t="s">
        <v>63</v>
      </c>
      <c r="P35" s="5">
        <v>215</v>
      </c>
      <c r="Q35" t="s">
        <v>28</v>
      </c>
      <c r="R35" t="s">
        <v>447</v>
      </c>
      <c r="S35" t="s">
        <v>30</v>
      </c>
      <c r="T35" t="s">
        <v>31</v>
      </c>
    </row>
    <row r="36" spans="1:20" x14ac:dyDescent="0.2">
      <c r="A36" t="s">
        <v>921</v>
      </c>
      <c r="B36" t="s">
        <v>204</v>
      </c>
      <c r="C36" t="s">
        <v>204</v>
      </c>
      <c r="D36" s="1" t="s">
        <v>997</v>
      </c>
      <c r="E36" t="s">
        <v>338</v>
      </c>
      <c r="F36">
        <v>18</v>
      </c>
      <c r="G36" t="s">
        <v>344</v>
      </c>
      <c r="H36" t="s">
        <v>345</v>
      </c>
      <c r="I36" s="9">
        <v>2022</v>
      </c>
      <c r="J36" s="5">
        <v>25</v>
      </c>
      <c r="K36" s="5">
        <v>16</v>
      </c>
      <c r="L36" s="10">
        <v>12240728</v>
      </c>
      <c r="M36" s="10">
        <v>17106137</v>
      </c>
      <c r="N36" s="10">
        <f t="shared" si="2"/>
        <v>4865409</v>
      </c>
      <c r="O36" t="s">
        <v>49</v>
      </c>
      <c r="P36" s="5">
        <v>220</v>
      </c>
      <c r="Q36" t="s">
        <v>36</v>
      </c>
      <c r="R36" t="s">
        <v>998</v>
      </c>
      <c r="S36" t="s">
        <v>113</v>
      </c>
      <c r="T36" t="s">
        <v>31</v>
      </c>
    </row>
    <row r="37" spans="1:20" x14ac:dyDescent="0.2">
      <c r="A37" t="s">
        <v>951</v>
      </c>
      <c r="B37" t="s">
        <v>204</v>
      </c>
      <c r="C37" t="s">
        <v>204</v>
      </c>
      <c r="D37" s="1" t="s">
        <v>999</v>
      </c>
      <c r="E37" t="s">
        <v>35</v>
      </c>
      <c r="F37">
        <v>19</v>
      </c>
      <c r="G37" t="s">
        <v>159</v>
      </c>
      <c r="H37" t="s">
        <v>214</v>
      </c>
      <c r="I37" s="9">
        <v>2023</v>
      </c>
      <c r="J37" s="5" t="s">
        <v>26</v>
      </c>
      <c r="K37" s="5">
        <v>15</v>
      </c>
      <c r="L37" s="10">
        <v>0</v>
      </c>
      <c r="M37" s="10">
        <v>19801203</v>
      </c>
      <c r="N37" s="10">
        <f t="shared" si="2"/>
        <v>19801203</v>
      </c>
      <c r="O37" t="s">
        <v>63</v>
      </c>
      <c r="P37" s="5">
        <v>185</v>
      </c>
      <c r="Q37" t="s">
        <v>27</v>
      </c>
      <c r="R37" t="s">
        <v>281</v>
      </c>
      <c r="S37" t="s">
        <v>159</v>
      </c>
      <c r="T37" t="s">
        <v>31</v>
      </c>
    </row>
    <row r="38" spans="1:20" x14ac:dyDescent="0.2">
      <c r="A38" t="s">
        <v>921</v>
      </c>
      <c r="B38" t="s">
        <v>204</v>
      </c>
      <c r="C38" t="s">
        <v>204</v>
      </c>
      <c r="D38" s="1" t="s">
        <v>1000</v>
      </c>
      <c r="E38" t="s">
        <v>35</v>
      </c>
      <c r="F38">
        <v>20</v>
      </c>
      <c r="G38" t="s">
        <v>344</v>
      </c>
      <c r="H38" t="s">
        <v>345</v>
      </c>
      <c r="I38" s="9">
        <v>2022</v>
      </c>
      <c r="J38" s="5">
        <v>24</v>
      </c>
      <c r="K38" s="5">
        <v>15</v>
      </c>
      <c r="L38" s="10">
        <v>12609596</v>
      </c>
      <c r="M38" s="10">
        <v>18001011</v>
      </c>
      <c r="N38" s="10">
        <f t="shared" si="2"/>
        <v>5391415</v>
      </c>
      <c r="O38" t="s">
        <v>141</v>
      </c>
      <c r="P38" s="5">
        <v>240</v>
      </c>
      <c r="Q38" t="s">
        <v>741</v>
      </c>
      <c r="R38" t="s">
        <v>1001</v>
      </c>
      <c r="S38" t="s">
        <v>421</v>
      </c>
      <c r="T38" t="s">
        <v>31</v>
      </c>
    </row>
    <row r="39" spans="1:20" x14ac:dyDescent="0.2">
      <c r="A39" t="s">
        <v>938</v>
      </c>
      <c r="B39" t="s">
        <v>204</v>
      </c>
      <c r="C39" t="s">
        <v>204</v>
      </c>
      <c r="D39" s="1" t="s">
        <v>1002</v>
      </c>
      <c r="E39" t="s">
        <v>35</v>
      </c>
      <c r="F39">
        <v>20</v>
      </c>
      <c r="G39" t="s">
        <v>218</v>
      </c>
      <c r="H39" t="s">
        <v>331</v>
      </c>
      <c r="I39" s="9">
        <v>2024</v>
      </c>
      <c r="J39" s="5">
        <v>12</v>
      </c>
      <c r="K39" s="5">
        <v>15</v>
      </c>
      <c r="L39" s="10">
        <v>23098277</v>
      </c>
      <c r="M39" s="10">
        <v>20526024</v>
      </c>
      <c r="N39" s="10">
        <f t="shared" si="2"/>
        <v>-2572253</v>
      </c>
      <c r="O39" t="s">
        <v>141</v>
      </c>
      <c r="P39" s="5">
        <v>230</v>
      </c>
      <c r="Q39" t="s">
        <v>155</v>
      </c>
      <c r="R39" t="s">
        <v>1003</v>
      </c>
      <c r="S39" t="s">
        <v>21</v>
      </c>
      <c r="T39" t="s">
        <v>31</v>
      </c>
    </row>
    <row r="40" spans="1:20" x14ac:dyDescent="0.2">
      <c r="A40" t="s">
        <v>959</v>
      </c>
      <c r="B40" t="s">
        <v>204</v>
      </c>
      <c r="C40" t="s">
        <v>204</v>
      </c>
      <c r="D40" s="1" t="s">
        <v>1004</v>
      </c>
      <c r="E40" t="s">
        <v>35</v>
      </c>
      <c r="F40">
        <v>21</v>
      </c>
      <c r="G40" t="s">
        <v>961</v>
      </c>
      <c r="H40" t="s">
        <v>22</v>
      </c>
      <c r="I40" s="9">
        <v>2020</v>
      </c>
      <c r="J40" s="5">
        <v>32</v>
      </c>
      <c r="K40" s="5">
        <v>14</v>
      </c>
      <c r="L40" s="10">
        <v>560000</v>
      </c>
      <c r="M40" s="10">
        <v>16528217</v>
      </c>
      <c r="N40" s="10">
        <f t="shared" si="2"/>
        <v>15968217</v>
      </c>
      <c r="O40" t="s">
        <v>49</v>
      </c>
      <c r="P40" s="5">
        <v>215</v>
      </c>
      <c r="Q40" t="s">
        <v>28</v>
      </c>
      <c r="R40" t="s">
        <v>1005</v>
      </c>
      <c r="S40" t="s">
        <v>97</v>
      </c>
      <c r="T40" t="s">
        <v>31</v>
      </c>
    </row>
    <row r="41" spans="1:20" x14ac:dyDescent="0.2">
      <c r="A41" t="s">
        <v>951</v>
      </c>
      <c r="B41" t="s">
        <v>204</v>
      </c>
      <c r="C41" t="s">
        <v>204</v>
      </c>
      <c r="D41" s="1" t="s">
        <v>1006</v>
      </c>
      <c r="E41" t="s">
        <v>338</v>
      </c>
      <c r="F41">
        <v>19</v>
      </c>
      <c r="G41" t="s">
        <v>159</v>
      </c>
      <c r="H41" t="s">
        <v>214</v>
      </c>
      <c r="I41" s="9">
        <v>2023</v>
      </c>
      <c r="J41" s="5" t="s">
        <v>26</v>
      </c>
      <c r="K41" s="5">
        <v>11</v>
      </c>
      <c r="L41" s="10">
        <v>0</v>
      </c>
      <c r="M41" s="10">
        <v>23172779</v>
      </c>
      <c r="N41" s="10">
        <f t="shared" si="2"/>
        <v>23172779</v>
      </c>
      <c r="O41" t="s">
        <v>27</v>
      </c>
      <c r="P41" s="5">
        <v>215</v>
      </c>
      <c r="Q41" t="s">
        <v>74</v>
      </c>
      <c r="R41" t="s">
        <v>453</v>
      </c>
      <c r="S41" t="s">
        <v>33</v>
      </c>
      <c r="T41" t="s">
        <v>31</v>
      </c>
    </row>
    <row r="42" spans="1:20" x14ac:dyDescent="0.2">
      <c r="A42" t="s">
        <v>934</v>
      </c>
      <c r="B42" t="s">
        <v>204</v>
      </c>
      <c r="C42" t="s">
        <v>204</v>
      </c>
      <c r="D42" s="1" t="s">
        <v>1007</v>
      </c>
      <c r="E42" t="s">
        <v>35</v>
      </c>
      <c r="F42">
        <v>19</v>
      </c>
      <c r="G42" t="s">
        <v>449</v>
      </c>
      <c r="H42" t="s">
        <v>345</v>
      </c>
      <c r="I42" s="9">
        <v>2020</v>
      </c>
      <c r="J42" s="5" t="s">
        <v>26</v>
      </c>
      <c r="K42" s="5">
        <v>11</v>
      </c>
      <c r="L42" s="10">
        <v>0</v>
      </c>
      <c r="M42" s="10">
        <v>18593499</v>
      </c>
      <c r="N42" s="10">
        <f t="shared" si="2"/>
        <v>18593499</v>
      </c>
      <c r="O42" t="s">
        <v>74</v>
      </c>
      <c r="P42" s="5">
        <v>200</v>
      </c>
      <c r="Q42" t="s">
        <v>36</v>
      </c>
      <c r="R42" t="s">
        <v>1008</v>
      </c>
      <c r="S42" t="s">
        <v>47</v>
      </c>
      <c r="T42" t="s">
        <v>31</v>
      </c>
    </row>
    <row r="43" spans="1:20" x14ac:dyDescent="0.2">
      <c r="D43" t="s">
        <v>1009</v>
      </c>
      <c r="F43" s="5">
        <v>20</v>
      </c>
      <c r="G43" t="s">
        <v>964</v>
      </c>
      <c r="I43" s="5">
        <v>2024</v>
      </c>
      <c r="J43" s="5">
        <v>8</v>
      </c>
      <c r="K43" s="5">
        <v>11</v>
      </c>
      <c r="O43" t="s">
        <v>28</v>
      </c>
      <c r="P43" s="5">
        <v>195</v>
      </c>
      <c r="Q43" t="s">
        <v>28</v>
      </c>
      <c r="R43" t="s">
        <v>1010</v>
      </c>
      <c r="S43" t="s">
        <v>51</v>
      </c>
      <c r="T43" t="s">
        <v>31</v>
      </c>
    </row>
    <row r="44" spans="1:20" x14ac:dyDescent="0.2">
      <c r="A44" t="s">
        <v>985</v>
      </c>
      <c r="B44" t="s">
        <v>204</v>
      </c>
      <c r="C44" t="s">
        <v>204</v>
      </c>
      <c r="D44" s="1" t="s">
        <v>1011</v>
      </c>
      <c r="E44" t="s">
        <v>338</v>
      </c>
      <c r="F44">
        <v>19</v>
      </c>
      <c r="G44" t="s">
        <v>395</v>
      </c>
      <c r="H44" t="s">
        <v>85</v>
      </c>
      <c r="I44" s="9">
        <v>2021</v>
      </c>
      <c r="J44" s="5">
        <v>5</v>
      </c>
      <c r="K44" s="5">
        <v>10</v>
      </c>
      <c r="L44" s="10">
        <v>29955705</v>
      </c>
      <c r="M44" s="10">
        <v>19907925</v>
      </c>
      <c r="N44" s="10">
        <f>M44-L44</f>
        <v>-10047780</v>
      </c>
      <c r="O44" t="s">
        <v>40</v>
      </c>
      <c r="P44" s="5">
        <v>190</v>
      </c>
      <c r="Q44" t="s">
        <v>28</v>
      </c>
      <c r="R44" t="s">
        <v>1012</v>
      </c>
      <c r="S44" t="s">
        <v>57</v>
      </c>
      <c r="T44" t="s">
        <v>31</v>
      </c>
    </row>
    <row r="45" spans="1:20" x14ac:dyDescent="0.2">
      <c r="A45" t="s">
        <v>978</v>
      </c>
      <c r="B45" t="s">
        <v>204</v>
      </c>
      <c r="C45" t="s">
        <v>204</v>
      </c>
      <c r="D45" s="1" t="s">
        <v>1013</v>
      </c>
      <c r="E45" t="s">
        <v>338</v>
      </c>
      <c r="F45" s="5">
        <v>19</v>
      </c>
      <c r="G45" t="s">
        <v>82</v>
      </c>
      <c r="H45" t="s">
        <v>22</v>
      </c>
      <c r="I45" s="9">
        <v>2025</v>
      </c>
      <c r="J45" s="5">
        <v>9</v>
      </c>
      <c r="K45" s="5">
        <v>9</v>
      </c>
      <c r="L45" s="10">
        <v>28822764</v>
      </c>
      <c r="M45" s="10">
        <v>37439131</v>
      </c>
      <c r="N45" s="10">
        <f>M45-L45</f>
        <v>8616367</v>
      </c>
      <c r="O45" t="s">
        <v>49</v>
      </c>
      <c r="P45" s="5">
        <v>190</v>
      </c>
      <c r="Q45" t="s">
        <v>28</v>
      </c>
      <c r="R45" t="s">
        <v>381</v>
      </c>
      <c r="S45" t="s">
        <v>82</v>
      </c>
      <c r="T45" t="s">
        <v>31</v>
      </c>
    </row>
    <row r="46" spans="1:20" x14ac:dyDescent="0.2">
      <c r="A46" t="s">
        <v>951</v>
      </c>
      <c r="B46" t="s">
        <v>204</v>
      </c>
      <c r="C46" t="s">
        <v>204</v>
      </c>
      <c r="D46" s="1" t="s">
        <v>1014</v>
      </c>
      <c r="E46" t="s">
        <v>35</v>
      </c>
      <c r="F46">
        <v>19</v>
      </c>
      <c r="G46" t="s">
        <v>159</v>
      </c>
      <c r="H46" t="s">
        <v>214</v>
      </c>
      <c r="I46" s="9">
        <v>2021</v>
      </c>
      <c r="J46" s="5">
        <v>43</v>
      </c>
      <c r="K46" s="5">
        <v>8</v>
      </c>
      <c r="L46" s="10">
        <v>560000</v>
      </c>
      <c r="M46" s="10">
        <v>22781932</v>
      </c>
      <c r="N46" s="10">
        <f>M46-L46</f>
        <v>22221932</v>
      </c>
      <c r="O46" t="s">
        <v>28</v>
      </c>
      <c r="P46" s="5">
        <v>220</v>
      </c>
      <c r="R46" t="s">
        <v>1015</v>
      </c>
      <c r="T46" t="s">
        <v>584</v>
      </c>
    </row>
    <row r="47" spans="1:20" x14ac:dyDescent="0.2">
      <c r="D47" t="s">
        <v>1016</v>
      </c>
      <c r="F47" s="5">
        <v>22</v>
      </c>
      <c r="G47" t="s">
        <v>964</v>
      </c>
      <c r="I47" s="5">
        <v>2022</v>
      </c>
      <c r="J47" s="5">
        <v>7</v>
      </c>
      <c r="K47" s="5">
        <v>8</v>
      </c>
      <c r="O47" t="s">
        <v>74</v>
      </c>
      <c r="P47" s="5">
        <v>195</v>
      </c>
      <c r="Q47" t="s">
        <v>28</v>
      </c>
      <c r="R47" t="s">
        <v>1017</v>
      </c>
      <c r="T47" t="s">
        <v>175</v>
      </c>
    </row>
    <row r="48" spans="1:20" x14ac:dyDescent="0.2">
      <c r="D48" t="s">
        <v>1018</v>
      </c>
      <c r="F48" s="5">
        <v>20</v>
      </c>
      <c r="G48" t="s">
        <v>964</v>
      </c>
      <c r="I48" s="5">
        <v>2024</v>
      </c>
      <c r="J48" s="5">
        <v>11</v>
      </c>
      <c r="K48" s="5">
        <v>5</v>
      </c>
      <c r="O48" t="s">
        <v>27</v>
      </c>
      <c r="P48" s="5">
        <v>195</v>
      </c>
      <c r="Q48" t="s">
        <v>28</v>
      </c>
      <c r="R48" t="s">
        <v>381</v>
      </c>
      <c r="S48" t="s">
        <v>82</v>
      </c>
      <c r="T48" t="s">
        <v>31</v>
      </c>
    </row>
    <row r="49" spans="1:20" x14ac:dyDescent="0.2">
      <c r="A49" t="s">
        <v>934</v>
      </c>
      <c r="B49" t="s">
        <v>204</v>
      </c>
      <c r="C49" t="s">
        <v>204</v>
      </c>
      <c r="D49" s="1" t="s">
        <v>1019</v>
      </c>
      <c r="E49" t="s">
        <v>338</v>
      </c>
      <c r="F49">
        <v>19</v>
      </c>
      <c r="G49" t="s">
        <v>449</v>
      </c>
      <c r="H49" t="s">
        <v>345</v>
      </c>
      <c r="I49" s="9">
        <v>2020</v>
      </c>
      <c r="J49" s="5">
        <v>20</v>
      </c>
      <c r="K49" s="5">
        <v>4</v>
      </c>
      <c r="L49" s="10">
        <v>12513127</v>
      </c>
      <c r="M49" s="10">
        <v>32101641</v>
      </c>
      <c r="N49" s="10">
        <f>M49-L49</f>
        <v>19588514</v>
      </c>
      <c r="O49" t="s">
        <v>74</v>
      </c>
      <c r="P49" s="5">
        <v>215</v>
      </c>
      <c r="Q49" t="s">
        <v>59</v>
      </c>
      <c r="R49" t="s">
        <v>147</v>
      </c>
      <c r="S49" t="s">
        <v>148</v>
      </c>
      <c r="T49" t="s">
        <v>31</v>
      </c>
    </row>
    <row r="50" spans="1:20" x14ac:dyDescent="0.2">
      <c r="A50" t="s">
        <v>934</v>
      </c>
      <c r="B50" t="s">
        <v>204</v>
      </c>
      <c r="C50" t="s">
        <v>204</v>
      </c>
      <c r="D50" s="1" t="s">
        <v>1020</v>
      </c>
      <c r="E50" t="s">
        <v>338</v>
      </c>
      <c r="F50">
        <v>19</v>
      </c>
      <c r="G50" t="s">
        <v>449</v>
      </c>
      <c r="H50" t="s">
        <v>345</v>
      </c>
      <c r="I50" s="9">
        <v>2021</v>
      </c>
      <c r="J50" s="5">
        <v>8</v>
      </c>
      <c r="K50" s="5">
        <v>4</v>
      </c>
      <c r="L50" s="10">
        <v>22781932</v>
      </c>
      <c r="M50" s="10">
        <v>33064660</v>
      </c>
      <c r="N50" s="10">
        <f>M50-L50</f>
        <v>10282728</v>
      </c>
      <c r="O50" t="s">
        <v>27</v>
      </c>
      <c r="P50" s="5">
        <v>225</v>
      </c>
      <c r="Q50" t="s">
        <v>108</v>
      </c>
      <c r="R50" t="s">
        <v>828</v>
      </c>
      <c r="S50" t="s">
        <v>33</v>
      </c>
      <c r="T50" t="s">
        <v>31</v>
      </c>
    </row>
    <row r="51" spans="1:20" x14ac:dyDescent="0.2">
      <c r="A51" t="s">
        <v>1021</v>
      </c>
      <c r="B51" t="s">
        <v>204</v>
      </c>
      <c r="C51" t="s">
        <v>204</v>
      </c>
      <c r="D51" s="1" t="s">
        <v>1022</v>
      </c>
      <c r="E51" t="s">
        <v>338</v>
      </c>
      <c r="F51">
        <v>19</v>
      </c>
      <c r="G51" t="s">
        <v>1023</v>
      </c>
      <c r="H51" t="s">
        <v>104</v>
      </c>
      <c r="I51" s="9">
        <v>2021</v>
      </c>
      <c r="J51" s="5">
        <v>1</v>
      </c>
      <c r="K51" s="5">
        <v>1</v>
      </c>
      <c r="L51" s="10">
        <v>45599089</v>
      </c>
      <c r="M51" s="10">
        <v>45599089</v>
      </c>
      <c r="N51" s="10">
        <f>M51-L51</f>
        <v>0</v>
      </c>
      <c r="O51" t="s">
        <v>27</v>
      </c>
      <c r="P51" s="5">
        <v>220</v>
      </c>
      <c r="Q51" t="s">
        <v>141</v>
      </c>
      <c r="R51" t="s">
        <v>105</v>
      </c>
      <c r="S51" t="s">
        <v>82</v>
      </c>
      <c r="T51" t="s">
        <v>31</v>
      </c>
    </row>
    <row r="52" spans="1:20" x14ac:dyDescent="0.2">
      <c r="A52" t="s">
        <v>921</v>
      </c>
      <c r="B52" t="s">
        <v>204</v>
      </c>
      <c r="C52" t="s">
        <v>204</v>
      </c>
      <c r="D52" s="1" t="s">
        <v>1024</v>
      </c>
      <c r="E52" t="s">
        <v>338</v>
      </c>
      <c r="F52">
        <v>19</v>
      </c>
      <c r="G52" t="s">
        <v>344</v>
      </c>
      <c r="H52" t="s">
        <v>345</v>
      </c>
      <c r="I52" s="9">
        <v>2022</v>
      </c>
      <c r="J52" s="5">
        <v>2</v>
      </c>
      <c r="K52" s="5">
        <v>1</v>
      </c>
      <c r="L52" s="10">
        <v>44889248</v>
      </c>
      <c r="M52" s="10">
        <v>50158769</v>
      </c>
      <c r="N52" s="10">
        <f>M52-L52</f>
        <v>5269521</v>
      </c>
      <c r="O52" t="s">
        <v>28</v>
      </c>
      <c r="P52" s="5">
        <v>250</v>
      </c>
      <c r="Q52" t="s">
        <v>141</v>
      </c>
      <c r="R52" t="s">
        <v>388</v>
      </c>
      <c r="S52" t="s">
        <v>234</v>
      </c>
      <c r="T52" t="s">
        <v>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SEC</vt:lpstr>
      <vt:lpstr>Big Ten</vt:lpstr>
      <vt:lpstr>ACC</vt:lpstr>
      <vt:lpstr>BIG 12</vt:lpstr>
      <vt:lpstr>Big East </vt:lpstr>
      <vt:lpstr>American </vt:lpstr>
      <vt:lpstr>Mountain West</vt:lpstr>
      <vt:lpstr>WCC</vt:lpstr>
      <vt:lpstr>Mid-Majors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Brady Goka</dc:creator>
  <cp:keywords/>
  <dc:description/>
  <cp:lastModifiedBy>Brady Goka</cp:lastModifiedBy>
  <cp:revision/>
  <dcterms:created xsi:type="dcterms:W3CDTF">2025-04-09T13:20:36Z</dcterms:created>
  <dcterms:modified xsi:type="dcterms:W3CDTF">2025-09-05T19:00:11Z</dcterms:modified>
  <cp:category/>
  <cp:contentStatus/>
</cp:coreProperties>
</file>